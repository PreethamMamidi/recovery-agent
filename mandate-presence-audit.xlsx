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ence_audit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<sst xmlns="http://schemas.openxmlformats.org/spreadsheetml/2006/main" count="434" uniqueCount="194">
  <si>
    <t xml:space="preserve">Mandate presence audit - all 74 in-scope reason codes</t>
  </si>
  <si>
    <t xml:space="preserve">Red = current rule is wrong. Green = already correct.</t>
  </si>
  <si>
    <t xml:space="preserve">reason</t>
  </si>
  <si>
    <t xml:space="preserve">failure_class</t>
  </si>
  <si>
    <t xml:space="preserve">should_be</t>
  </si>
  <si>
    <t xml:space="preserve">current_rule</t>
  </si>
  <si>
    <t xml:space="preserve">is_bug</t>
  </si>
  <si>
    <t xml:space="preserve">why</t>
  </si>
  <si>
    <t xml:space="preserve">insufficient_funds</t>
  </si>
  <si>
    <t xml:space="preserve">ANY</t>
  </si>
  <si>
    <t xml:space="preserve">Balance is checked server-side. Happens identically on a mandate debit and at checkout.</t>
  </si>
  <si>
    <t xml:space="preserve">funds_blocked_by_mandate</t>
  </si>
  <si>
    <t xml:space="preserve">Another mandate has locked the funds. Nothing to do with presence.</t>
  </si>
  <si>
    <t xml:space="preserve">bank_technical_error</t>
  </si>
  <si>
    <t xml:space="preserve">technical_downtime</t>
  </si>
  <si>
    <t xml:space="preserve">Rail-side failure. Presence irrelevant.</t>
  </si>
  <si>
    <t xml:space="preserve">bank_not_available</t>
  </si>
  <si>
    <t xml:space="preserve">Rail-side failure.</t>
  </si>
  <si>
    <t xml:space="preserve">bank_cutoff_in_progress</t>
  </si>
  <si>
    <t xml:space="preserve">Periodic CBS event. Hits scheduled debits especially.</t>
  </si>
  <si>
    <t xml:space="preserve">gateway_technical_error</t>
  </si>
  <si>
    <t xml:space="preserve">Gateway-side.</t>
  </si>
  <si>
    <t xml:space="preserve">issuer_technical_error</t>
  </si>
  <si>
    <t xml:space="preserve">Issuer-side.</t>
  </si>
  <si>
    <t xml:space="preserve">invalid_response_from_gateway</t>
  </si>
  <si>
    <t xml:space="preserve">server_error</t>
  </si>
  <si>
    <t xml:space="preserve">Razorpay-side.</t>
  </si>
  <si>
    <t xml:space="preserve">request_timed_out</t>
  </si>
  <si>
    <t xml:space="preserve">Infrastructure timeout, not a customer timeout. Do not confuse with payment_timed_out.</t>
  </si>
  <si>
    <t xml:space="preserve">verification_failed</t>
  </si>
  <si>
    <t xml:space="preserve">Status-check API failure.</t>
  </si>
  <si>
    <t xml:space="preserve">upi_app_technical_error</t>
  </si>
  <si>
    <t xml:space="preserve">UPI Autopay debits route through the PSP too, so this fires without a customer.</t>
  </si>
  <si>
    <t xml:space="preserve">psp_app_not_available</t>
  </si>
  <si>
    <t xml:space="preserve">Same reasoning as above. Borderline - docs phrase it customer-first.</t>
  </si>
  <si>
    <t xml:space="preserve">psp_not_available</t>
  </si>
  <si>
    <t xml:space="preserve">PSP-side.</t>
  </si>
  <si>
    <t xml:space="preserve">authorisation_declined_by_psp</t>
  </si>
  <si>
    <t xml:space="preserve">PSP rejects the authorisation request; applies to autopay debits.</t>
  </si>
  <si>
    <t xml:space="preserve">payment_declined_due_to_high_traffic</t>
  </si>
  <si>
    <t xml:space="preserve">Load-shedding at the gateway.</t>
  </si>
  <si>
    <t xml:space="preserve">vpa_resolution_failed</t>
  </si>
  <si>
    <t xml:space="preserve">UPI network validation failure.</t>
  </si>
  <si>
    <t xml:space="preserve">otp_attempts_exceeded</t>
  </si>
  <si>
    <t xml:space="preserve">temporary_lockout</t>
  </si>
  <si>
    <t xml:space="preserve">AFA</t>
  </si>
  <si>
    <t xml:space="preserve">YES</t>
  </si>
  <si>
    <t xml:space="preserve">BUG. Requires repeated OTP entry, so a human was present. On a mandate debit that only happens above the AFA threshold.</t>
  </si>
  <si>
    <t xml:space="preserve">pin_attempts_exceeded</t>
  </si>
  <si>
    <t xml:space="preserve">BUG. Requires repeated PIN entry. Same reasoning.</t>
  </si>
  <si>
    <t xml:space="preserve">transaction_daily_limit_exceeded</t>
  </si>
  <si>
    <t xml:space="preserve">limit_exceeded</t>
  </si>
  <si>
    <t xml:space="preserve">Cap enforced server-side.</t>
  </si>
  <si>
    <t xml:space="preserve">transaction_daily_count_exceeded</t>
  </si>
  <si>
    <t xml:space="preserve">transaction_frequency_limit_exceeded</t>
  </si>
  <si>
    <t xml:space="preserve">NPCI frequency cap, server-side.</t>
  </si>
  <si>
    <t xml:space="preserve">transaction_limit_exceeded</t>
  </si>
  <si>
    <t xml:space="preserve">Per-transaction cap, server-side.</t>
  </si>
  <si>
    <t xml:space="preserve">credit_limit_exceeded</t>
  </si>
  <si>
    <t xml:space="preserve">Credit line check, server-side.</t>
  </si>
  <si>
    <t xml:space="preserve">emi_greater_than_max_amount</t>
  </si>
  <si>
    <t xml:space="preserve">NEVER</t>
  </si>
  <si>
    <t xml:space="preserve">BUG. EMI plan selection is a checkout flow. No EMI choice happens on a silent debit.</t>
  </si>
  <si>
    <t xml:space="preserve">payment_timed_out</t>
  </si>
  <si>
    <t xml:space="preserve">session_expiry</t>
  </si>
  <si>
    <t xml:space="preserve">Customer did not complete in time. There is no page to time out on a mandate debit.</t>
  </si>
  <si>
    <t xml:space="preserve">payment_session_expired</t>
  </si>
  <si>
    <t xml:space="preserve">Checkout session. Same reasoning.</t>
  </si>
  <si>
    <t xml:space="preserve">payment_collect_request_expired</t>
  </si>
  <si>
    <t xml:space="preserve">BUG. A UPI collect goes to the customer's app for approval. Customer-present by definition.</t>
  </si>
  <si>
    <t xml:space="preserve">collect_request_pending</t>
  </si>
  <si>
    <t xml:space="preserve">Pending collect request awaiting customer approval.</t>
  </si>
  <si>
    <t xml:space="preserve">otp_expired</t>
  </si>
  <si>
    <t xml:space="preserve">BUG. An OTP only exists if someone was prompted. On a mandate that means above the AFA threshold.</t>
  </si>
  <si>
    <t xml:space="preserve">payment_cancelled</t>
  </si>
  <si>
    <t xml:space="preserve">Customer explicitly cancelled. There is no cancel button on a silent debit.</t>
  </si>
  <si>
    <t xml:space="preserve">authentication_failed</t>
  </si>
  <si>
    <t xml:space="preserve">customer_input_error</t>
  </si>
  <si>
    <t xml:space="preserve">3DS / OTP failure. Possible on a high-value mandate debit via AFA.</t>
  </si>
  <si>
    <t xml:space="preserve">incorrect_otp</t>
  </si>
  <si>
    <t xml:space="preserve">OTP entry. AFA-threshold mandate debits prompt for one.</t>
  </si>
  <si>
    <t xml:space="preserve">incorrect_pin</t>
  </si>
  <si>
    <t xml:space="preserve">UPI PIN entry, prompted on AFA-threshold autopay.</t>
  </si>
  <si>
    <t xml:space="preserve">incorrect_atm_pin</t>
  </si>
  <si>
    <t xml:space="preserve">PIN entry.</t>
  </si>
  <si>
    <t xml:space="preserve">incorrect_cvv</t>
  </si>
  <si>
    <t xml:space="preserve">BUG. CVV is entered at checkout only. AFA approval does not ask for CVV.</t>
  </si>
  <si>
    <t xml:space="preserve">incorrect_card_details</t>
  </si>
  <si>
    <t xml:space="preserve">BUG. Card details are typed at checkout, never re-typed for a stored mandate.</t>
  </si>
  <si>
    <t xml:space="preserve">incorrect_card_expiry_date</t>
  </si>
  <si>
    <t xml:space="preserve">BUG. Checkout-only entry.</t>
  </si>
  <si>
    <t xml:space="preserve">incorrect_cardholder_name</t>
  </si>
  <si>
    <t xml:space="preserve">card_number_invalid</t>
  </si>
  <si>
    <t xml:space="preserve">invalid_vpa</t>
  </si>
  <si>
    <t xml:space="preserve">BUG. Typing a VPA is a checkout action.</t>
  </si>
  <si>
    <t xml:space="preserve">invalid_mobile_number</t>
  </si>
  <si>
    <t xml:space="preserve">BUG. Form entry.</t>
  </si>
  <si>
    <t xml:space="preserve">mobile_number_invalid</t>
  </si>
  <si>
    <t xml:space="preserve">BUG. Duplicate of the above.</t>
  </si>
  <si>
    <t xml:space="preserve">invalid_user_details</t>
  </si>
  <si>
    <t xml:space="preserve">bank_account_validation_failed</t>
  </si>
  <si>
    <t xml:space="preserve">BUG. Account details typed and validated at setup/checkout.</t>
  </si>
  <si>
    <t xml:space="preserve">payment_failed</t>
  </si>
  <si>
    <t xml:space="preserve">issuer_decline</t>
  </si>
  <si>
    <t xml:space="preserve">Generic bank/wallet failure. Fires on mandate debits too.</t>
  </si>
  <si>
    <t xml:space="preserve">payment_declined</t>
  </si>
  <si>
    <t xml:space="preserve">Generic decline.</t>
  </si>
  <si>
    <t xml:space="preserve">card_declined</t>
  </si>
  <si>
    <t xml:space="preserve">Issuer refusal, server-side.</t>
  </si>
  <si>
    <t xml:space="preserve">debit_declined</t>
  </si>
  <si>
    <t xml:space="preserve">Issuer refusal.</t>
  </si>
  <si>
    <t xml:space="preserve">debit_instrument_blocked</t>
  </si>
  <si>
    <t xml:space="preserve">Card blocked by issuer or customer. State, not presence.</t>
  </si>
  <si>
    <t xml:space="preserve">payment_risk_check_failed</t>
  </si>
  <si>
    <t xml:space="preserve">Risk engine, server-side.</t>
  </si>
  <si>
    <t xml:space="preserve">credit_not_permitted</t>
  </si>
  <si>
    <t xml:space="preserve">Issuer policy.</t>
  </si>
  <si>
    <t xml:space="preserve">credit_failed</t>
  </si>
  <si>
    <t xml:space="preserve">Credit processing failure.</t>
  </si>
  <si>
    <t xml:space="preserve">international_transaction_not_allowed</t>
  </si>
  <si>
    <t xml:space="preserve">Card restriction, server-side.</t>
  </si>
  <si>
    <t xml:space="preserve">transaction_on_vpa_restricted</t>
  </si>
  <si>
    <t xml:space="preserve">PSP has blocked the VPA.</t>
  </si>
  <si>
    <t xml:space="preserve">user_not_eligible</t>
  </si>
  <si>
    <t xml:space="preserve">Credit eligibility, server-side.</t>
  </si>
  <si>
    <t xml:space="preserve">card_expired</t>
  </si>
  <si>
    <t xml:space="preserve">instrument_invalid</t>
  </si>
  <si>
    <t xml:space="preserve">A stored card expires too. Mandate debits fail on it identically.</t>
  </si>
  <si>
    <t xml:space="preserve">card_not_enrolled</t>
  </si>
  <si>
    <t xml:space="preserve">Enrolment state of the instrument.</t>
  </si>
  <si>
    <t xml:space="preserve">card_type_invalid</t>
  </si>
  <si>
    <t xml:space="preserve">Instrument state.</t>
  </si>
  <si>
    <t xml:space="preserve">bank_account_invalid</t>
  </si>
  <si>
    <t xml:space="preserve">Account closed. Applies to e-NACH mandates.</t>
  </si>
  <si>
    <t xml:space="preserve">debit_instrument_inactive</t>
  </si>
  <si>
    <t xml:space="preserve">credit_limit_expired</t>
  </si>
  <si>
    <t xml:space="preserve">Credit line state.</t>
  </si>
  <si>
    <t xml:space="preserve">credit_limit_inactive</t>
  </si>
  <si>
    <t xml:space="preserve">credit_limit_not_approved</t>
  </si>
  <si>
    <t xml:space="preserve">pin_not_set</t>
  </si>
  <si>
    <t xml:space="preserve">BUG. Setting a PIN is a customer-present onboarding action.</t>
  </si>
  <si>
    <t xml:space="preserve">user_not_registered_for_netbanking</t>
  </si>
  <si>
    <t xml:space="preserve">Registration state. e-NACH mandates run on netbanking rails.</t>
  </si>
  <si>
    <t xml:space="preserve">psp_not_registered</t>
  </si>
  <si>
    <t xml:space="preserve">Registration state.</t>
  </si>
  <si>
    <t xml:space="preserve">psp_app_not_supported</t>
  </si>
  <si>
    <t xml:space="preserve">BUG. App blacklisting bites during a customer-initiated intent flow.</t>
  </si>
  <si>
    <t xml:space="preserve">upi_autopay_not_supported_on_psp</t>
  </si>
  <si>
    <t xml:space="preserve">Explicitly about autopay - mandate-relevant by definition.</t>
  </si>
  <si>
    <t xml:space="preserve">mandate_creation_failed</t>
  </si>
  <si>
    <t xml:space="preserve">mandate_failure</t>
  </si>
  <si>
    <t xml:space="preserve">Setup failure. No mandate exists yet, by definition.</t>
  </si>
  <si>
    <t xml:space="preserve">mandate_creation_declined</t>
  </si>
  <si>
    <t xml:space="preserve">Setup failure.</t>
  </si>
  <si>
    <t xml:space="preserve">mandate_creation_expired</t>
  </si>
  <si>
    <t xml:space="preserve">mandate_creation_timeout</t>
  </si>
  <si>
    <t xml:space="preserve">reqauth_mandate_not_acknowledged</t>
  </si>
  <si>
    <t xml:space="preserve">Customer never acknowledged. No mandate exists.</t>
  </si>
  <si>
    <t xml:space="preserve">Summary</t>
  </si>
  <si>
    <t xml:space="preserve">THE UNDERLYING VARIABLE</t>
  </si>
  <si>
    <t xml:space="preserve">Mandate eligibility is a property of the REASON CODE, not of the failure class.</t>
  </si>
  <si>
    <t xml:space="preserve">The question for every code is the same: could a human have been at a screen</t>
  </si>
  <si>
    <t xml:space="preserve">when this failure happened?</t>
  </si>
  <si>
    <t xml:space="preserve">  NEVER  customer-present only. A mandate debit cannot produce this. has_mandate = False.</t>
  </si>
  <si>
    <t xml:space="preserve">  AFA    possible on a mandate debit only above the AFA threshold, where the</t>
  </si>
  <si>
    <t xml:space="preserve">         customer is prompted to approve. has_mandate = amount &gt;= 15000 and roll.</t>
  </si>
  <si>
    <t xml:space="preserve">  ANY    presence-agnostic. Server-side or instrument-state failure. Default rate.</t>
  </si>
  <si>
    <t xml:space="preserve">WHY THE CLASS-LEVEL RULE KEEPS MISSING THINGS</t>
  </si>
  <si>
    <t xml:space="preserve">customer_input_error is not uniformly AFA. incorrect_otp is AFA-possible;</t>
  </si>
  <si>
    <t xml:space="preserve">incorrect_cvv is not, because AFA approval never asks for a CVV.</t>
  </si>
  <si>
    <t xml:space="preserve">Both live in the same class, so no class-level rule can be right for both.</t>
  </si>
  <si>
    <t xml:space="preserve">THE BIGGEST MISS</t>
  </si>
  <si>
    <t xml:space="preserve">temporary_lockout. Both its codes require repeated manual entry, so both are</t>
  </si>
  <si>
    <t xml:space="preserve">AFA-conditional - but the class currently falls through to the default 70% rate.</t>
  </si>
  <si>
    <t xml:space="preserve">This was never inspected because the class was never suspected.</t>
  </si>
  <si>
    <t xml:space="preserve">IMPLEMENTATION</t>
  </si>
  <si>
    <t xml:space="preserve">Replace the class-level if/elif chain with a single reason -&gt; presence lookup:</t>
  </si>
  <si>
    <t xml:space="preserve">    PRESENCE = {'incorrect_cvv': 'NEVER', 'incorrect_otp': 'AFA', ...}</t>
  </si>
  <si>
    <t xml:space="preserve">    def assign_mandate(reason, amount, rng):</t>
  </si>
  <si>
    <t xml:space="preserve">        p = PRESENCE[reason]</t>
  </si>
  <si>
    <t xml:space="preserve">        if p == 'NEVER': return False</t>
  </si>
  <si>
    <t xml:space="preserve">        if p == 'AFA':   return amount &gt;= AFA_THRESHOLD and rng.random() &lt; 0.7</t>
  </si>
  <si>
    <t xml:space="preserve">        return rng.random() &lt; MANDATE_FRACTION</t>
  </si>
  <si>
    <t xml:space="preserve">Assert at import that all 74 reasons have a presence value. A missing key must</t>
  </si>
  <si>
    <t xml:space="preserve">raise, not default - defaulting is exactly how temporary_lockout was missed.</t>
  </si>
  <si>
    <t xml:space="preserve">EXPECTED EFFECT</t>
  </si>
  <si>
    <t xml:space="preserve">Mandate share falls further from 51.7%. Both B and the agent lose retry-driven</t>
  </si>
  <si>
    <t xml:space="preserve">recovery on the affected classes - B more, since it retries everything.</t>
  </si>
  <si>
    <t xml:space="preserve">temporary_lockout and limit_exceeded are the two classes where B currently leads</t>
  </si>
  <si>
    <t xml:space="preserve">and where mandate share is about to drop. Expect that lead to narrow.</t>
  </si>
  <si>
    <t xml:space="preserve">Do NOT assume it hands you the win. Measure.</t>
  </si>
  <si>
    <t xml:space="preserve">COUNTS</t>
  </si>
  <si>
    <t xml:space="preserve">total reasons</t>
  </si>
  <si>
    <t xml:space="preserve">bugs found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</si>
</sst>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7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8</v>
      </c>
      <c r="C5" s="4" t="s">
        <v>9</v>
      </c>
      <c r="D5" s="4" t="s">
        <v>9</v>
      </c>
      <c r="E5" s="4"/>
      <c r="F5" s="4" t="s">
        <v>10</v>
      </c>
    </row>
    <row r="6" customFormat="false" ht="15" hidden="false" customHeight="false" outlineLevel="0" collapsed="false">
      <c r="A6" s="4" t="s">
        <v>11</v>
      </c>
      <c r="B6" s="4" t="s">
        <v>8</v>
      </c>
      <c r="C6" s="4" t="s">
        <v>9</v>
      </c>
      <c r="D6" s="4" t="s">
        <v>9</v>
      </c>
      <c r="E6" s="4"/>
      <c r="F6" s="4" t="s">
        <v>12</v>
      </c>
    </row>
    <row r="7" customFormat="false" ht="15" hidden="false" customHeight="false" outlineLevel="0" collapsed="false">
      <c r="A7" s="4" t="s">
        <v>13</v>
      </c>
      <c r="B7" s="4" t="s">
        <v>14</v>
      </c>
      <c r="C7" s="4" t="s">
        <v>9</v>
      </c>
      <c r="D7" s="4" t="s">
        <v>9</v>
      </c>
      <c r="E7" s="4"/>
      <c r="F7" s="4" t="s">
        <v>15</v>
      </c>
    </row>
    <row r="8" customFormat="false" ht="15" hidden="false" customHeight="false" outlineLevel="0" collapsed="false">
      <c r="A8" s="4" t="s">
        <v>16</v>
      </c>
      <c r="B8" s="4" t="s">
        <v>14</v>
      </c>
      <c r="C8" s="4" t="s">
        <v>9</v>
      </c>
      <c r="D8" s="4" t="s">
        <v>9</v>
      </c>
      <c r="E8" s="4"/>
      <c r="F8" s="4" t="s">
        <v>17</v>
      </c>
    </row>
    <row r="9" customFormat="false" ht="15" hidden="false" customHeight="false" outlineLevel="0" collapsed="false">
      <c r="A9" s="4" t="s">
        <v>18</v>
      </c>
      <c r="B9" s="4" t="s">
        <v>14</v>
      </c>
      <c r="C9" s="4" t="s">
        <v>9</v>
      </c>
      <c r="D9" s="4" t="s">
        <v>9</v>
      </c>
      <c r="E9" s="4"/>
      <c r="F9" s="4" t="s">
        <v>19</v>
      </c>
    </row>
    <row r="10" customFormat="false" ht="15" hidden="false" customHeight="false" outlineLevel="0" collapsed="false">
      <c r="A10" s="4" t="s">
        <v>20</v>
      </c>
      <c r="B10" s="4" t="s">
        <v>14</v>
      </c>
      <c r="C10" s="4" t="s">
        <v>9</v>
      </c>
      <c r="D10" s="4" t="s">
        <v>9</v>
      </c>
      <c r="E10" s="4"/>
      <c r="F10" s="4" t="s">
        <v>21</v>
      </c>
    </row>
    <row r="11" customFormat="false" ht="15" hidden="false" customHeight="false" outlineLevel="0" collapsed="false">
      <c r="A11" s="4" t="s">
        <v>22</v>
      </c>
      <c r="B11" s="4" t="s">
        <v>14</v>
      </c>
      <c r="C11" s="4" t="s">
        <v>9</v>
      </c>
      <c r="D11" s="4" t="s">
        <v>9</v>
      </c>
      <c r="E11" s="4"/>
      <c r="F11" s="4" t="s">
        <v>23</v>
      </c>
    </row>
    <row r="12" customFormat="false" ht="15" hidden="false" customHeight="false" outlineLevel="0" collapsed="false">
      <c r="A12" s="4" t="s">
        <v>24</v>
      </c>
      <c r="B12" s="4" t="s">
        <v>14</v>
      </c>
      <c r="C12" s="4" t="s">
        <v>9</v>
      </c>
      <c r="D12" s="4" t="s">
        <v>9</v>
      </c>
      <c r="E12" s="4"/>
      <c r="F12" s="4" t="s">
        <v>21</v>
      </c>
    </row>
    <row r="13" customFormat="false" ht="15" hidden="false" customHeight="false" outlineLevel="0" collapsed="false">
      <c r="A13" s="4" t="s">
        <v>25</v>
      </c>
      <c r="B13" s="4" t="s">
        <v>14</v>
      </c>
      <c r="C13" s="4" t="s">
        <v>9</v>
      </c>
      <c r="D13" s="4" t="s">
        <v>9</v>
      </c>
      <c r="E13" s="4"/>
      <c r="F13" s="4" t="s">
        <v>26</v>
      </c>
    </row>
    <row r="14" customFormat="false" ht="15" hidden="false" customHeight="false" outlineLevel="0" collapsed="false">
      <c r="A14" s="4" t="s">
        <v>27</v>
      </c>
      <c r="B14" s="4" t="s">
        <v>14</v>
      </c>
      <c r="C14" s="4" t="s">
        <v>9</v>
      </c>
      <c r="D14" s="4" t="s">
        <v>9</v>
      </c>
      <c r="E14" s="4"/>
      <c r="F14" s="4" t="s">
        <v>28</v>
      </c>
    </row>
    <row r="15" customFormat="false" ht="15" hidden="false" customHeight="false" outlineLevel="0" collapsed="false">
      <c r="A15" s="4" t="s">
        <v>29</v>
      </c>
      <c r="B15" s="4" t="s">
        <v>14</v>
      </c>
      <c r="C15" s="4" t="s">
        <v>9</v>
      </c>
      <c r="D15" s="4" t="s">
        <v>9</v>
      </c>
      <c r="E15" s="4"/>
      <c r="F15" s="4" t="s">
        <v>30</v>
      </c>
    </row>
    <row r="16" customFormat="false" ht="15" hidden="false" customHeight="false" outlineLevel="0" collapsed="false">
      <c r="A16" s="4" t="s">
        <v>31</v>
      </c>
      <c r="B16" s="4" t="s">
        <v>14</v>
      </c>
      <c r="C16" s="4" t="s">
        <v>9</v>
      </c>
      <c r="D16" s="4" t="s">
        <v>9</v>
      </c>
      <c r="E16" s="4"/>
      <c r="F16" s="4" t="s">
        <v>32</v>
      </c>
    </row>
    <row r="17" customFormat="false" ht="15" hidden="false" customHeight="false" outlineLevel="0" collapsed="false">
      <c r="A17" s="4" t="s">
        <v>33</v>
      </c>
      <c r="B17" s="4" t="s">
        <v>14</v>
      </c>
      <c r="C17" s="4" t="s">
        <v>9</v>
      </c>
      <c r="D17" s="4" t="s">
        <v>9</v>
      </c>
      <c r="E17" s="4"/>
      <c r="F17" s="4" t="s">
        <v>34</v>
      </c>
    </row>
    <row r="18" customFormat="false" ht="15" hidden="false" customHeight="false" outlineLevel="0" collapsed="false">
      <c r="A18" s="4" t="s">
        <v>35</v>
      </c>
      <c r="B18" s="4" t="s">
        <v>14</v>
      </c>
      <c r="C18" s="4" t="s">
        <v>9</v>
      </c>
      <c r="D18" s="4" t="s">
        <v>9</v>
      </c>
      <c r="E18" s="4"/>
      <c r="F18" s="4" t="s">
        <v>36</v>
      </c>
    </row>
    <row r="19" customFormat="false" ht="15" hidden="false" customHeight="false" outlineLevel="0" collapsed="false">
      <c r="A19" s="4" t="s">
        <v>37</v>
      </c>
      <c r="B19" s="4" t="s">
        <v>14</v>
      </c>
      <c r="C19" s="4" t="s">
        <v>9</v>
      </c>
      <c r="D19" s="4" t="s">
        <v>9</v>
      </c>
      <c r="E19" s="4"/>
      <c r="F19" s="4" t="s">
        <v>38</v>
      </c>
    </row>
    <row r="20" customFormat="false" ht="15" hidden="false" customHeight="false" outlineLevel="0" collapsed="false">
      <c r="A20" s="4" t="s">
        <v>39</v>
      </c>
      <c r="B20" s="4" t="s">
        <v>14</v>
      </c>
      <c r="C20" s="4" t="s">
        <v>9</v>
      </c>
      <c r="D20" s="4" t="s">
        <v>9</v>
      </c>
      <c r="E20" s="4"/>
      <c r="F20" s="4" t="s">
        <v>40</v>
      </c>
    </row>
    <row r="21" customFormat="false" ht="15" hidden="false" customHeight="false" outlineLevel="0" collapsed="false">
      <c r="A21" s="4" t="s">
        <v>41</v>
      </c>
      <c r="B21" s="4" t="s">
        <v>14</v>
      </c>
      <c r="C21" s="4" t="s">
        <v>9</v>
      </c>
      <c r="D21" s="4" t="s">
        <v>9</v>
      </c>
      <c r="E21" s="4"/>
      <c r="F21" s="4" t="s">
        <v>42</v>
      </c>
    </row>
    <row r="22" customFormat="false" ht="23.85" hidden="false" customHeight="false" outlineLevel="0" collapsed="false">
      <c r="A22" s="5" t="s">
        <v>43</v>
      </c>
      <c r="B22" s="5" t="s">
        <v>44</v>
      </c>
      <c r="C22" s="5" t="s">
        <v>45</v>
      </c>
      <c r="D22" s="5" t="s">
        <v>9</v>
      </c>
      <c r="E22" s="5" t="s">
        <v>46</v>
      </c>
      <c r="F22" s="5" t="s">
        <v>47</v>
      </c>
    </row>
    <row r="23" customFormat="false" ht="15" hidden="false" customHeight="false" outlineLevel="0" collapsed="false">
      <c r="A23" s="5" t="s">
        <v>48</v>
      </c>
      <c r="B23" s="5" t="s">
        <v>44</v>
      </c>
      <c r="C23" s="5" t="s">
        <v>45</v>
      </c>
      <c r="D23" s="5" t="s">
        <v>9</v>
      </c>
      <c r="E23" s="5" t="s">
        <v>46</v>
      </c>
      <c r="F23" s="5" t="s">
        <v>49</v>
      </c>
    </row>
    <row r="24" customFormat="false" ht="15" hidden="false" customHeight="false" outlineLevel="0" collapsed="false">
      <c r="A24" s="4" t="s">
        <v>50</v>
      </c>
      <c r="B24" s="4" t="s">
        <v>51</v>
      </c>
      <c r="C24" s="4" t="s">
        <v>9</v>
      </c>
      <c r="D24" s="4" t="s">
        <v>9</v>
      </c>
      <c r="E24" s="4"/>
      <c r="F24" s="4" t="s">
        <v>52</v>
      </c>
    </row>
    <row r="25" customFormat="false" ht="15" hidden="false" customHeight="false" outlineLevel="0" collapsed="false">
      <c r="A25" s="4" t="s">
        <v>53</v>
      </c>
      <c r="B25" s="4" t="s">
        <v>51</v>
      </c>
      <c r="C25" s="4" t="s">
        <v>9</v>
      </c>
      <c r="D25" s="4" t="s">
        <v>9</v>
      </c>
      <c r="E25" s="4"/>
      <c r="F25" s="4" t="s">
        <v>52</v>
      </c>
    </row>
    <row r="26" customFormat="false" ht="15" hidden="false" customHeight="false" outlineLevel="0" collapsed="false">
      <c r="A26" s="4" t="s">
        <v>54</v>
      </c>
      <c r="B26" s="4" t="s">
        <v>51</v>
      </c>
      <c r="C26" s="4" t="s">
        <v>9</v>
      </c>
      <c r="D26" s="4" t="s">
        <v>9</v>
      </c>
      <c r="E26" s="4"/>
      <c r="F26" s="4" t="s">
        <v>55</v>
      </c>
    </row>
    <row r="27" customFormat="false" ht="15" hidden="false" customHeight="false" outlineLevel="0" collapsed="false">
      <c r="A27" s="4" t="s">
        <v>56</v>
      </c>
      <c r="B27" s="4" t="s">
        <v>51</v>
      </c>
      <c r="C27" s="4" t="s">
        <v>9</v>
      </c>
      <c r="D27" s="4" t="s">
        <v>9</v>
      </c>
      <c r="E27" s="4"/>
      <c r="F27" s="4" t="s">
        <v>57</v>
      </c>
    </row>
    <row r="28" customFormat="false" ht="15" hidden="false" customHeight="false" outlineLevel="0" collapsed="false">
      <c r="A28" s="4" t="s">
        <v>58</v>
      </c>
      <c r="B28" s="4" t="s">
        <v>51</v>
      </c>
      <c r="C28" s="4" t="s">
        <v>9</v>
      </c>
      <c r="D28" s="4" t="s">
        <v>9</v>
      </c>
      <c r="E28" s="4"/>
      <c r="F28" s="4" t="s">
        <v>59</v>
      </c>
    </row>
    <row r="29" customFormat="false" ht="15" hidden="false" customHeight="false" outlineLevel="0" collapsed="false">
      <c r="A29" s="5" t="s">
        <v>60</v>
      </c>
      <c r="B29" s="5" t="s">
        <v>51</v>
      </c>
      <c r="C29" s="5" t="s">
        <v>61</v>
      </c>
      <c r="D29" s="5" t="s">
        <v>9</v>
      </c>
      <c r="E29" s="5" t="s">
        <v>46</v>
      </c>
      <c r="F29" s="5" t="s">
        <v>62</v>
      </c>
    </row>
    <row r="30" customFormat="false" ht="15" hidden="false" customHeight="false" outlineLevel="0" collapsed="false">
      <c r="A30" s="4" t="s">
        <v>63</v>
      </c>
      <c r="B30" s="4" t="s">
        <v>64</v>
      </c>
      <c r="C30" s="4" t="s">
        <v>61</v>
      </c>
      <c r="D30" s="4" t="s">
        <v>61</v>
      </c>
      <c r="E30" s="4"/>
      <c r="F30" s="4" t="s">
        <v>65</v>
      </c>
    </row>
    <row r="31" customFormat="false" ht="15" hidden="false" customHeight="false" outlineLevel="0" collapsed="false">
      <c r="A31" s="4" t="s">
        <v>66</v>
      </c>
      <c r="B31" s="4" t="s">
        <v>64</v>
      </c>
      <c r="C31" s="4" t="s">
        <v>61</v>
      </c>
      <c r="D31" s="4" t="s">
        <v>61</v>
      </c>
      <c r="E31" s="4"/>
      <c r="F31" s="4" t="s">
        <v>67</v>
      </c>
    </row>
    <row r="32" customFormat="false" ht="15" hidden="false" customHeight="false" outlineLevel="0" collapsed="false">
      <c r="A32" s="5" t="s">
        <v>68</v>
      </c>
      <c r="B32" s="5" t="s">
        <v>64</v>
      </c>
      <c r="C32" s="5" t="s">
        <v>61</v>
      </c>
      <c r="D32" s="5" t="s">
        <v>9</v>
      </c>
      <c r="E32" s="5" t="s">
        <v>46</v>
      </c>
      <c r="F32" s="5" t="s">
        <v>69</v>
      </c>
    </row>
    <row r="33" customFormat="false" ht="15" hidden="false" customHeight="false" outlineLevel="0" collapsed="false">
      <c r="A33" s="4" t="s">
        <v>70</v>
      </c>
      <c r="B33" s="4" t="s">
        <v>64</v>
      </c>
      <c r="C33" s="4" t="s">
        <v>61</v>
      </c>
      <c r="D33" s="4" t="s">
        <v>61</v>
      </c>
      <c r="E33" s="4"/>
      <c r="F33" s="4" t="s">
        <v>71</v>
      </c>
    </row>
    <row r="34" customFormat="false" ht="23.85" hidden="false" customHeight="false" outlineLevel="0" collapsed="false">
      <c r="A34" s="5" t="s">
        <v>72</v>
      </c>
      <c r="B34" s="5" t="s">
        <v>64</v>
      </c>
      <c r="C34" s="5" t="s">
        <v>45</v>
      </c>
      <c r="D34" s="5" t="s">
        <v>9</v>
      </c>
      <c r="E34" s="5" t="s">
        <v>46</v>
      </c>
      <c r="F34" s="5" t="s">
        <v>73</v>
      </c>
    </row>
    <row r="35" customFormat="false" ht="15" hidden="false" customHeight="false" outlineLevel="0" collapsed="false">
      <c r="A35" s="4" t="s">
        <v>74</v>
      </c>
      <c r="B35" s="4" t="s">
        <v>64</v>
      </c>
      <c r="C35" s="4" t="s">
        <v>61</v>
      </c>
      <c r="D35" s="4" t="s">
        <v>61</v>
      </c>
      <c r="E35" s="4"/>
      <c r="F35" s="4" t="s">
        <v>75</v>
      </c>
    </row>
    <row r="36" customFormat="false" ht="15" hidden="false" customHeight="false" outlineLevel="0" collapsed="false">
      <c r="A36" s="4" t="s">
        <v>76</v>
      </c>
      <c r="B36" s="4" t="s">
        <v>77</v>
      </c>
      <c r="C36" s="4" t="s">
        <v>45</v>
      </c>
      <c r="D36" s="4" t="s">
        <v>45</v>
      </c>
      <c r="E36" s="4"/>
      <c r="F36" s="4" t="s">
        <v>78</v>
      </c>
    </row>
    <row r="37" customFormat="false" ht="15" hidden="false" customHeight="false" outlineLevel="0" collapsed="false">
      <c r="A37" s="4" t="s">
        <v>79</v>
      </c>
      <c r="B37" s="4" t="s">
        <v>77</v>
      </c>
      <c r="C37" s="4" t="s">
        <v>45</v>
      </c>
      <c r="D37" s="4" t="s">
        <v>45</v>
      </c>
      <c r="E37" s="4"/>
      <c r="F37" s="4" t="s">
        <v>80</v>
      </c>
    </row>
    <row r="38" customFormat="false" ht="15" hidden="false" customHeight="false" outlineLevel="0" collapsed="false">
      <c r="A38" s="4" t="s">
        <v>81</v>
      </c>
      <c r="B38" s="4" t="s">
        <v>77</v>
      </c>
      <c r="C38" s="4" t="s">
        <v>45</v>
      </c>
      <c r="D38" s="4" t="s">
        <v>45</v>
      </c>
      <c r="E38" s="4"/>
      <c r="F38" s="4" t="s">
        <v>82</v>
      </c>
    </row>
    <row r="39" customFormat="false" ht="15" hidden="false" customHeight="false" outlineLevel="0" collapsed="false">
      <c r="A39" s="4" t="s">
        <v>83</v>
      </c>
      <c r="B39" s="4" t="s">
        <v>77</v>
      </c>
      <c r="C39" s="4" t="s">
        <v>45</v>
      </c>
      <c r="D39" s="4" t="s">
        <v>45</v>
      </c>
      <c r="E39" s="4"/>
      <c r="F39" s="4" t="s">
        <v>84</v>
      </c>
    </row>
    <row r="40" customFormat="false" ht="15" hidden="false" customHeight="false" outlineLevel="0" collapsed="false">
      <c r="A40" s="5" t="s">
        <v>85</v>
      </c>
      <c r="B40" s="5" t="s">
        <v>77</v>
      </c>
      <c r="C40" s="5" t="s">
        <v>61</v>
      </c>
      <c r="D40" s="5" t="s">
        <v>45</v>
      </c>
      <c r="E40" s="5" t="s">
        <v>46</v>
      </c>
      <c r="F40" s="5" t="s">
        <v>86</v>
      </c>
    </row>
    <row r="41" customFormat="false" ht="15" hidden="false" customHeight="false" outlineLevel="0" collapsed="false">
      <c r="A41" s="5" t="s">
        <v>87</v>
      </c>
      <c r="B41" s="5" t="s">
        <v>77</v>
      </c>
      <c r="C41" s="5" t="s">
        <v>61</v>
      </c>
      <c r="D41" s="5" t="s">
        <v>45</v>
      </c>
      <c r="E41" s="5" t="s">
        <v>46</v>
      </c>
      <c r="F41" s="5" t="s">
        <v>88</v>
      </c>
    </row>
    <row r="42" customFormat="false" ht="15" hidden="false" customHeight="false" outlineLevel="0" collapsed="false">
      <c r="A42" s="5" t="s">
        <v>89</v>
      </c>
      <c r="B42" s="5" t="s">
        <v>77</v>
      </c>
      <c r="C42" s="5" t="s">
        <v>61</v>
      </c>
      <c r="D42" s="5" t="s">
        <v>45</v>
      </c>
      <c r="E42" s="5" t="s">
        <v>46</v>
      </c>
      <c r="F42" s="5" t="s">
        <v>90</v>
      </c>
    </row>
    <row r="43" customFormat="false" ht="15" hidden="false" customHeight="false" outlineLevel="0" collapsed="false">
      <c r="A43" s="5" t="s">
        <v>91</v>
      </c>
      <c r="B43" s="5" t="s">
        <v>77</v>
      </c>
      <c r="C43" s="5" t="s">
        <v>61</v>
      </c>
      <c r="D43" s="5" t="s">
        <v>45</v>
      </c>
      <c r="E43" s="5" t="s">
        <v>46</v>
      </c>
      <c r="F43" s="5" t="s">
        <v>90</v>
      </c>
    </row>
    <row r="44" customFormat="false" ht="15" hidden="false" customHeight="false" outlineLevel="0" collapsed="false">
      <c r="A44" s="5" t="s">
        <v>92</v>
      </c>
      <c r="B44" s="5" t="s">
        <v>77</v>
      </c>
      <c r="C44" s="5" t="s">
        <v>61</v>
      </c>
      <c r="D44" s="5" t="s">
        <v>45</v>
      </c>
      <c r="E44" s="5" t="s">
        <v>46</v>
      </c>
      <c r="F44" s="5" t="s">
        <v>90</v>
      </c>
    </row>
    <row r="45" customFormat="false" ht="15" hidden="false" customHeight="false" outlineLevel="0" collapsed="false">
      <c r="A45" s="5" t="s">
        <v>93</v>
      </c>
      <c r="B45" s="5" t="s">
        <v>77</v>
      </c>
      <c r="C45" s="5" t="s">
        <v>61</v>
      </c>
      <c r="D45" s="5" t="s">
        <v>45</v>
      </c>
      <c r="E45" s="5" t="s">
        <v>46</v>
      </c>
      <c r="F45" s="5" t="s">
        <v>94</v>
      </c>
    </row>
    <row r="46" customFormat="false" ht="15" hidden="false" customHeight="false" outlineLevel="0" collapsed="false">
      <c r="A46" s="5" t="s">
        <v>95</v>
      </c>
      <c r="B46" s="5" t="s">
        <v>77</v>
      </c>
      <c r="C46" s="5" t="s">
        <v>61</v>
      </c>
      <c r="D46" s="5" t="s">
        <v>45</v>
      </c>
      <c r="E46" s="5" t="s">
        <v>46</v>
      </c>
      <c r="F46" s="5" t="s">
        <v>96</v>
      </c>
    </row>
    <row r="47" customFormat="false" ht="15" hidden="false" customHeight="false" outlineLevel="0" collapsed="false">
      <c r="A47" s="5" t="s">
        <v>97</v>
      </c>
      <c r="B47" s="5" t="s">
        <v>77</v>
      </c>
      <c r="C47" s="5" t="s">
        <v>61</v>
      </c>
      <c r="D47" s="5" t="s">
        <v>45</v>
      </c>
      <c r="E47" s="5" t="s">
        <v>46</v>
      </c>
      <c r="F47" s="5" t="s">
        <v>98</v>
      </c>
    </row>
    <row r="48" customFormat="false" ht="15" hidden="false" customHeight="false" outlineLevel="0" collapsed="false">
      <c r="A48" s="5" t="s">
        <v>99</v>
      </c>
      <c r="B48" s="5" t="s">
        <v>77</v>
      </c>
      <c r="C48" s="5" t="s">
        <v>61</v>
      </c>
      <c r="D48" s="5" t="s">
        <v>45</v>
      </c>
      <c r="E48" s="5" t="s">
        <v>46</v>
      </c>
      <c r="F48" s="5" t="s">
        <v>96</v>
      </c>
    </row>
    <row r="49" customFormat="false" ht="15" hidden="false" customHeight="false" outlineLevel="0" collapsed="false">
      <c r="A49" s="5" t="s">
        <v>100</v>
      </c>
      <c r="B49" s="5" t="s">
        <v>77</v>
      </c>
      <c r="C49" s="5" t="s">
        <v>61</v>
      </c>
      <c r="D49" s="5" t="s">
        <v>45</v>
      </c>
      <c r="E49" s="5" t="s">
        <v>46</v>
      </c>
      <c r="F49" s="5" t="s">
        <v>101</v>
      </c>
    </row>
    <row r="50" customFormat="false" ht="15" hidden="false" customHeight="false" outlineLevel="0" collapsed="false">
      <c r="A50" s="4" t="s">
        <v>102</v>
      </c>
      <c r="B50" s="4" t="s">
        <v>103</v>
      </c>
      <c r="C50" s="4" t="s">
        <v>9</v>
      </c>
      <c r="D50" s="4" t="s">
        <v>9</v>
      </c>
      <c r="E50" s="4"/>
      <c r="F50" s="4" t="s">
        <v>104</v>
      </c>
    </row>
    <row r="51" customFormat="false" ht="15" hidden="false" customHeight="false" outlineLevel="0" collapsed="false">
      <c r="A51" s="4" t="s">
        <v>105</v>
      </c>
      <c r="B51" s="4" t="s">
        <v>103</v>
      </c>
      <c r="C51" s="4" t="s">
        <v>9</v>
      </c>
      <c r="D51" s="4" t="s">
        <v>9</v>
      </c>
      <c r="E51" s="4"/>
      <c r="F51" s="4" t="s">
        <v>106</v>
      </c>
    </row>
    <row r="52" customFormat="false" ht="15" hidden="false" customHeight="false" outlineLevel="0" collapsed="false">
      <c r="A52" s="4" t="s">
        <v>107</v>
      </c>
      <c r="B52" s="4" t="s">
        <v>103</v>
      </c>
      <c r="C52" s="4" t="s">
        <v>9</v>
      </c>
      <c r="D52" s="4" t="s">
        <v>9</v>
      </c>
      <c r="E52" s="4"/>
      <c r="F52" s="4" t="s">
        <v>108</v>
      </c>
    </row>
    <row r="53" customFormat="false" ht="15" hidden="false" customHeight="false" outlineLevel="0" collapsed="false">
      <c r="A53" s="4" t="s">
        <v>109</v>
      </c>
      <c r="B53" s="4" t="s">
        <v>103</v>
      </c>
      <c r="C53" s="4" t="s">
        <v>9</v>
      </c>
      <c r="D53" s="4" t="s">
        <v>9</v>
      </c>
      <c r="E53" s="4"/>
      <c r="F53" s="4" t="s">
        <v>110</v>
      </c>
    </row>
    <row r="54" customFormat="false" ht="15" hidden="false" customHeight="false" outlineLevel="0" collapsed="false">
      <c r="A54" s="4" t="s">
        <v>111</v>
      </c>
      <c r="B54" s="4" t="s">
        <v>103</v>
      </c>
      <c r="C54" s="4" t="s">
        <v>9</v>
      </c>
      <c r="D54" s="4" t="s">
        <v>9</v>
      </c>
      <c r="E54" s="4"/>
      <c r="F54" s="4" t="s">
        <v>112</v>
      </c>
    </row>
    <row r="55" customFormat="false" ht="15" hidden="false" customHeight="false" outlineLevel="0" collapsed="false">
      <c r="A55" s="4" t="s">
        <v>113</v>
      </c>
      <c r="B55" s="4" t="s">
        <v>103</v>
      </c>
      <c r="C55" s="4" t="s">
        <v>9</v>
      </c>
      <c r="D55" s="4" t="s">
        <v>9</v>
      </c>
      <c r="E55" s="4"/>
      <c r="F55" s="4" t="s">
        <v>114</v>
      </c>
    </row>
    <row r="56" customFormat="false" ht="15" hidden="false" customHeight="false" outlineLevel="0" collapsed="false">
      <c r="A56" s="4" t="s">
        <v>115</v>
      </c>
      <c r="B56" s="4" t="s">
        <v>103</v>
      </c>
      <c r="C56" s="4" t="s">
        <v>9</v>
      </c>
      <c r="D56" s="4" t="s">
        <v>9</v>
      </c>
      <c r="E56" s="4"/>
      <c r="F56" s="4" t="s">
        <v>116</v>
      </c>
    </row>
    <row r="57" customFormat="false" ht="15" hidden="false" customHeight="false" outlineLevel="0" collapsed="false">
      <c r="A57" s="4" t="s">
        <v>117</v>
      </c>
      <c r="B57" s="4" t="s">
        <v>103</v>
      </c>
      <c r="C57" s="4" t="s">
        <v>9</v>
      </c>
      <c r="D57" s="4" t="s">
        <v>9</v>
      </c>
      <c r="E57" s="4"/>
      <c r="F57" s="4" t="s">
        <v>118</v>
      </c>
    </row>
    <row r="58" customFormat="false" ht="15" hidden="false" customHeight="false" outlineLevel="0" collapsed="false">
      <c r="A58" s="4" t="s">
        <v>119</v>
      </c>
      <c r="B58" s="4" t="s">
        <v>103</v>
      </c>
      <c r="C58" s="4" t="s">
        <v>9</v>
      </c>
      <c r="D58" s="4" t="s">
        <v>9</v>
      </c>
      <c r="E58" s="4"/>
      <c r="F58" s="4" t="s">
        <v>120</v>
      </c>
    </row>
    <row r="59" customFormat="false" ht="15" hidden="false" customHeight="false" outlineLevel="0" collapsed="false">
      <c r="A59" s="4" t="s">
        <v>121</v>
      </c>
      <c r="B59" s="4" t="s">
        <v>103</v>
      </c>
      <c r="C59" s="4" t="s">
        <v>9</v>
      </c>
      <c r="D59" s="4" t="s">
        <v>9</v>
      </c>
      <c r="E59" s="4"/>
      <c r="F59" s="4" t="s">
        <v>122</v>
      </c>
    </row>
    <row r="60" customFormat="false" ht="15" hidden="false" customHeight="false" outlineLevel="0" collapsed="false">
      <c r="A60" s="4" t="s">
        <v>123</v>
      </c>
      <c r="B60" s="4" t="s">
        <v>103</v>
      </c>
      <c r="C60" s="4" t="s">
        <v>9</v>
      </c>
      <c r="D60" s="4" t="s">
        <v>9</v>
      </c>
      <c r="E60" s="4"/>
      <c r="F60" s="4" t="s">
        <v>124</v>
      </c>
    </row>
    <row r="61" customFormat="false" ht="15" hidden="false" customHeight="false" outlineLevel="0" collapsed="false">
      <c r="A61" s="4" t="s">
        <v>125</v>
      </c>
      <c r="B61" s="4" t="s">
        <v>126</v>
      </c>
      <c r="C61" s="4" t="s">
        <v>9</v>
      </c>
      <c r="D61" s="4" t="s">
        <v>9</v>
      </c>
      <c r="E61" s="4"/>
      <c r="F61" s="4" t="s">
        <v>127</v>
      </c>
    </row>
    <row r="62" customFormat="false" ht="15" hidden="false" customHeight="false" outlineLevel="0" collapsed="false">
      <c r="A62" s="4" t="s">
        <v>128</v>
      </c>
      <c r="B62" s="4" t="s">
        <v>126</v>
      </c>
      <c r="C62" s="4" t="s">
        <v>9</v>
      </c>
      <c r="D62" s="4" t="s">
        <v>9</v>
      </c>
      <c r="E62" s="4"/>
      <c r="F62" s="4" t="s">
        <v>129</v>
      </c>
    </row>
    <row r="63" customFormat="false" ht="15" hidden="false" customHeight="false" outlineLevel="0" collapsed="false">
      <c r="A63" s="4" t="s">
        <v>130</v>
      </c>
      <c r="B63" s="4" t="s">
        <v>126</v>
      </c>
      <c r="C63" s="4" t="s">
        <v>9</v>
      </c>
      <c r="D63" s="4" t="s">
        <v>9</v>
      </c>
      <c r="E63" s="4"/>
      <c r="F63" s="4" t="s">
        <v>131</v>
      </c>
    </row>
    <row r="64" customFormat="false" ht="15" hidden="false" customHeight="false" outlineLevel="0" collapsed="false">
      <c r="A64" s="4" t="s">
        <v>132</v>
      </c>
      <c r="B64" s="4" t="s">
        <v>126</v>
      </c>
      <c r="C64" s="4" t="s">
        <v>9</v>
      </c>
      <c r="D64" s="4" t="s">
        <v>9</v>
      </c>
      <c r="E64" s="4"/>
      <c r="F64" s="4" t="s">
        <v>133</v>
      </c>
    </row>
    <row r="65" customFormat="false" ht="15" hidden="false" customHeight="false" outlineLevel="0" collapsed="false">
      <c r="A65" s="4" t="s">
        <v>134</v>
      </c>
      <c r="B65" s="4" t="s">
        <v>126</v>
      </c>
      <c r="C65" s="4" t="s">
        <v>9</v>
      </c>
      <c r="D65" s="4" t="s">
        <v>9</v>
      </c>
      <c r="E65" s="4"/>
      <c r="F65" s="4" t="s">
        <v>131</v>
      </c>
    </row>
    <row r="66" customFormat="false" ht="15" hidden="false" customHeight="false" outlineLevel="0" collapsed="false">
      <c r="A66" s="4" t="s">
        <v>135</v>
      </c>
      <c r="B66" s="4" t="s">
        <v>126</v>
      </c>
      <c r="C66" s="4" t="s">
        <v>9</v>
      </c>
      <c r="D66" s="4" t="s">
        <v>9</v>
      </c>
      <c r="E66" s="4"/>
      <c r="F66" s="4" t="s">
        <v>136</v>
      </c>
    </row>
    <row r="67" customFormat="false" ht="15" hidden="false" customHeight="false" outlineLevel="0" collapsed="false">
      <c r="A67" s="4" t="s">
        <v>137</v>
      </c>
      <c r="B67" s="4" t="s">
        <v>126</v>
      </c>
      <c r="C67" s="4" t="s">
        <v>9</v>
      </c>
      <c r="D67" s="4" t="s">
        <v>9</v>
      </c>
      <c r="E67" s="4"/>
      <c r="F67" s="4" t="s">
        <v>136</v>
      </c>
    </row>
    <row r="68" customFormat="false" ht="15" hidden="false" customHeight="false" outlineLevel="0" collapsed="false">
      <c r="A68" s="4" t="s">
        <v>138</v>
      </c>
      <c r="B68" s="4" t="s">
        <v>126</v>
      </c>
      <c r="C68" s="4" t="s">
        <v>9</v>
      </c>
      <c r="D68" s="4" t="s">
        <v>9</v>
      </c>
      <c r="E68" s="4"/>
      <c r="F68" s="4" t="s">
        <v>136</v>
      </c>
    </row>
    <row r="69" customFormat="false" ht="15" hidden="false" customHeight="false" outlineLevel="0" collapsed="false">
      <c r="A69" s="5" t="s">
        <v>139</v>
      </c>
      <c r="B69" s="5" t="s">
        <v>126</v>
      </c>
      <c r="C69" s="5" t="s">
        <v>61</v>
      </c>
      <c r="D69" s="5" t="s">
        <v>9</v>
      </c>
      <c r="E69" s="5" t="s">
        <v>46</v>
      </c>
      <c r="F69" s="5" t="s">
        <v>140</v>
      </c>
    </row>
    <row r="70" customFormat="false" ht="15" hidden="false" customHeight="false" outlineLevel="0" collapsed="false">
      <c r="A70" s="4" t="s">
        <v>141</v>
      </c>
      <c r="B70" s="4" t="s">
        <v>126</v>
      </c>
      <c r="C70" s="4" t="s">
        <v>9</v>
      </c>
      <c r="D70" s="4" t="s">
        <v>9</v>
      </c>
      <c r="E70" s="4"/>
      <c r="F70" s="4" t="s">
        <v>142</v>
      </c>
    </row>
    <row r="71" customFormat="false" ht="15" hidden="false" customHeight="false" outlineLevel="0" collapsed="false">
      <c r="A71" s="4" t="s">
        <v>143</v>
      </c>
      <c r="B71" s="4" t="s">
        <v>126</v>
      </c>
      <c r="C71" s="4" t="s">
        <v>9</v>
      </c>
      <c r="D71" s="4" t="s">
        <v>9</v>
      </c>
      <c r="E71" s="4"/>
      <c r="F71" s="4" t="s">
        <v>144</v>
      </c>
    </row>
    <row r="72" customFormat="false" ht="15" hidden="false" customHeight="false" outlineLevel="0" collapsed="false">
      <c r="A72" s="5" t="s">
        <v>145</v>
      </c>
      <c r="B72" s="5" t="s">
        <v>126</v>
      </c>
      <c r="C72" s="5" t="s">
        <v>61</v>
      </c>
      <c r="D72" s="5" t="s">
        <v>9</v>
      </c>
      <c r="E72" s="5" t="s">
        <v>46</v>
      </c>
      <c r="F72" s="5" t="s">
        <v>146</v>
      </c>
    </row>
    <row r="73" customFormat="false" ht="15" hidden="false" customHeight="false" outlineLevel="0" collapsed="false">
      <c r="A73" s="4" t="s">
        <v>147</v>
      </c>
      <c r="B73" s="4" t="s">
        <v>126</v>
      </c>
      <c r="C73" s="4" t="s">
        <v>9</v>
      </c>
      <c r="D73" s="4" t="s">
        <v>9</v>
      </c>
      <c r="E73" s="4"/>
      <c r="F73" s="4" t="s">
        <v>148</v>
      </c>
    </row>
    <row r="74" customFormat="false" ht="15" hidden="false" customHeight="false" outlineLevel="0" collapsed="false">
      <c r="A74" s="4" t="s">
        <v>149</v>
      </c>
      <c r="B74" s="4" t="s">
        <v>150</v>
      </c>
      <c r="C74" s="4" t="s">
        <v>61</v>
      </c>
      <c r="D74" s="4" t="s">
        <v>61</v>
      </c>
      <c r="E74" s="4"/>
      <c r="F74" s="4" t="s">
        <v>151</v>
      </c>
    </row>
    <row r="75" customFormat="false" ht="15" hidden="false" customHeight="false" outlineLevel="0" collapsed="false">
      <c r="A75" s="4" t="s">
        <v>152</v>
      </c>
      <c r="B75" s="4" t="s">
        <v>150</v>
      </c>
      <c r="C75" s="4" t="s">
        <v>61</v>
      </c>
      <c r="D75" s="4" t="s">
        <v>61</v>
      </c>
      <c r="E75" s="4"/>
      <c r="F75" s="4" t="s">
        <v>153</v>
      </c>
    </row>
    <row r="76" customFormat="false" ht="15" hidden="false" customHeight="false" outlineLevel="0" collapsed="false">
      <c r="A76" s="4" t="s">
        <v>154</v>
      </c>
      <c r="B76" s="4" t="s">
        <v>150</v>
      </c>
      <c r="C76" s="4" t="s">
        <v>61</v>
      </c>
      <c r="D76" s="4" t="s">
        <v>61</v>
      </c>
      <c r="E76" s="4"/>
      <c r="F76" s="4" t="s">
        <v>153</v>
      </c>
    </row>
    <row r="77" customFormat="false" ht="15" hidden="false" customHeight="false" outlineLevel="0" collapsed="false">
      <c r="A77" s="4" t="s">
        <v>155</v>
      </c>
      <c r="B77" s="4" t="s">
        <v>150</v>
      </c>
      <c r="C77" s="4" t="s">
        <v>61</v>
      </c>
      <c r="D77" s="4" t="s">
        <v>61</v>
      </c>
      <c r="E77" s="4"/>
      <c r="F77" s="4" t="s">
        <v>153</v>
      </c>
    </row>
    <row r="78" customFormat="false" ht="15" hidden="false" customHeight="false" outlineLevel="0" collapsed="false">
      <c r="A78" s="4" t="s">
        <v>156</v>
      </c>
      <c r="B78" s="4" t="s">
        <v>150</v>
      </c>
      <c r="C78" s="4" t="s">
        <v>61</v>
      </c>
      <c r="D78" s="4" t="s">
        <v>61</v>
      </c>
      <c r="E78" s="4"/>
      <c r="F78" s="4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6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6" t="s">
        <v>159</v>
      </c>
    </row>
    <row r="4" customFormat="false" ht="15" hidden="false" customHeight="false" outlineLevel="0" collapsed="false">
      <c r="A4" s="2" t="s">
        <v>160</v>
      </c>
    </row>
    <row r="5" customFormat="false" ht="15" hidden="false" customHeight="false" outlineLevel="0" collapsed="false">
      <c r="A5" s="2" t="s">
        <v>161</v>
      </c>
    </row>
    <row r="6" customFormat="false" ht="15" hidden="false" customHeight="false" outlineLevel="0" collapsed="false">
      <c r="A6" s="2" t="s">
        <v>162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163</v>
      </c>
    </row>
    <row r="9" customFormat="false" ht="15" hidden="false" customHeight="false" outlineLevel="0" collapsed="false">
      <c r="A9" s="2" t="s">
        <v>164</v>
      </c>
    </row>
    <row r="10" customFormat="false" ht="15" hidden="false" customHeight="false" outlineLevel="0" collapsed="false">
      <c r="A10" s="2" t="s">
        <v>165</v>
      </c>
    </row>
    <row r="11" customFormat="false" ht="15" hidden="false" customHeight="false" outlineLevel="0" collapsed="false">
      <c r="A11" s="2" t="s">
        <v>166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6" t="s">
        <v>167</v>
      </c>
    </row>
    <row r="14" customFormat="false" ht="15" hidden="false" customHeight="false" outlineLevel="0" collapsed="false">
      <c r="A14" s="2" t="s">
        <v>168</v>
      </c>
    </row>
    <row r="15" customFormat="false" ht="15" hidden="false" customHeight="false" outlineLevel="0" collapsed="false">
      <c r="A15" s="2" t="s">
        <v>169</v>
      </c>
    </row>
    <row r="16" customFormat="false" ht="15" hidden="false" customHeight="false" outlineLevel="0" collapsed="false">
      <c r="A16" s="2" t="s">
        <v>170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6" t="s">
        <v>171</v>
      </c>
    </row>
    <row r="19" customFormat="false" ht="15" hidden="false" customHeight="false" outlineLevel="0" collapsed="false">
      <c r="A19" s="2" t="s">
        <v>172</v>
      </c>
    </row>
    <row r="20" customFormat="false" ht="15" hidden="false" customHeight="false" outlineLevel="0" collapsed="false">
      <c r="A20" s="2" t="s">
        <v>173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6" t="s">
        <v>175</v>
      </c>
    </row>
    <row r="24" customFormat="false" ht="15" hidden="false" customHeight="false" outlineLevel="0" collapsed="false">
      <c r="A24" s="2" t="s">
        <v>176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2" t="s">
        <v>177</v>
      </c>
    </row>
    <row r="27" customFormat="false" ht="15" hidden="false" customHeight="false" outlineLevel="0" collapsed="false">
      <c r="A27" s="2"/>
    </row>
    <row r="28" customFormat="false" ht="15" hidden="false" customHeight="false" outlineLevel="0" collapsed="false">
      <c r="A28" s="2" t="s">
        <v>178</v>
      </c>
    </row>
    <row r="29" customFormat="false" ht="15" hidden="false" customHeight="false" outlineLevel="0" collapsed="false">
      <c r="A29" s="2" t="s">
        <v>179</v>
      </c>
    </row>
    <row r="30" customFormat="false" ht="15" hidden="false" customHeight="false" outlineLevel="0" collapsed="false">
      <c r="A30" s="2" t="s">
        <v>180</v>
      </c>
    </row>
    <row r="31" customFormat="false" ht="15" hidden="false" customHeight="false" outlineLevel="0" collapsed="false">
      <c r="A31" s="2" t="s">
        <v>181</v>
      </c>
    </row>
    <row r="32" customFormat="false" ht="15" hidden="false" customHeight="false" outlineLevel="0" collapsed="false">
      <c r="A32" s="2" t="s">
        <v>182</v>
      </c>
    </row>
    <row r="33" customFormat="false" ht="15" hidden="false" customHeight="false" outlineLevel="0" collapsed="false">
      <c r="A33" s="2"/>
    </row>
    <row r="34" customFormat="false" ht="15" hidden="false" customHeight="false" outlineLevel="0" collapsed="false">
      <c r="A34" s="2" t="s">
        <v>183</v>
      </c>
    </row>
    <row r="35" customFormat="false" ht="15" hidden="false" customHeight="false" outlineLevel="0" collapsed="false">
      <c r="A35" s="2" t="s">
        <v>184</v>
      </c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6" t="s">
        <v>185</v>
      </c>
    </row>
    <row r="38" customFormat="false" ht="15" hidden="false" customHeight="false" outlineLevel="0" collapsed="false">
      <c r="A38" s="2" t="s">
        <v>186</v>
      </c>
    </row>
    <row r="39" customFormat="false" ht="15" hidden="false" customHeight="false" outlineLevel="0" collapsed="false">
      <c r="A39" s="2" t="s">
        <v>187</v>
      </c>
    </row>
    <row r="40" customFormat="false" ht="15" hidden="false" customHeight="false" outlineLevel="0" collapsed="false">
      <c r="A40" s="2" t="s">
        <v>188</v>
      </c>
    </row>
    <row r="41" customFormat="false" ht="15" hidden="false" customHeight="false" outlineLevel="0" collapsed="false">
      <c r="A41" s="2" t="s">
        <v>189</v>
      </c>
    </row>
    <row r="42" customFormat="false" ht="15" hidden="false" customHeight="false" outlineLevel="0" collapsed="false">
      <c r="A42" s="2" t="s">
        <v>190</v>
      </c>
    </row>
    <row r="45" customFormat="false" ht="15" hidden="false" customHeight="false" outlineLevel="0" collapsed="false">
      <c r="A45" s="6" t="s">
        <v>191</v>
      </c>
    </row>
    <row r="46" customFormat="false" ht="15" hidden="false" customHeight="false" outlineLevel="0" collapsed="false">
      <c r="A46" s="2" t="s">
        <v>192</v>
      </c>
      <c r="B46" s="6" t="n">
        <f aca="false">COUNTA(presence_audit!$A$5:$A$78)</f>
        <v>74</v>
      </c>
    </row>
    <row r="47" customFormat="false" ht="15" hidden="false" customHeight="false" outlineLevel="0" collapsed="false">
      <c r="A47" s="2" t="s">
        <v>193</v>
      </c>
      <c r="B47" s="6" t="n">
        <f aca="false">COUNTIF(presence_audit!$E$5:$E$78,"YES")</f>
        <v>17</v>
      </c>
    </row>
    <row r="48" customFormat="false" ht="15" hidden="false" customHeight="false" outlineLevel="0" collapsed="false">
      <c r="A48" s="2" t="s">
        <v>61</v>
      </c>
      <c r="B48" s="6" t="n">
        <f aca="false">COUNTIF(presence_audit!$C$5:$C$78,"NEVER")</f>
        <v>23</v>
      </c>
    </row>
    <row r="49" customFormat="false" ht="15" hidden="false" customHeight="false" outlineLevel="0" collapsed="false">
      <c r="A49" s="2" t="s">
        <v>45</v>
      </c>
      <c r="B49" s="6" t="n">
        <f aca="false">COUNTIF(presence_audit!$C$5:$C$78,"AFA")</f>
        <v>7</v>
      </c>
    </row>
    <row r="50" customFormat="false" ht="15" hidden="false" customHeight="false" outlineLevel="0" collapsed="false">
      <c r="A50" s="2" t="s">
        <v>9</v>
      </c>
      <c r="B50" s="6" t="n">
        <f aca="false">COUNTIF(presence_audit!$C$5:$C$78,"ANY")</f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2026-08-28T10:29:31Z</dcterms:created>
  <dc:creator>openpyxl</dc:creator>
  <dc:description/>
  <dc:language>en-US</dc:language>
  <cp:lastModifiedBy/>
  <dcterms:modified xsi:type="dcterms:W3CDTF">2026-08-28T10:29:31Z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