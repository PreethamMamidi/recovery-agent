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how_to_use" sheetId="1" state="visible" r:id="rId3"/>
    <sheet name="1_code_tagging" sheetId="2" state="visible" r:id="rId4"/>
    <sheet name="2_failure_clas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<sst xmlns="http://schemas.openxmlformats.org/spreadsheetml/2006/main" count="792" uniqueCount="353">
  <si>
    <t xml:space="preserve">Failure Taxonomy Worksheet  -  v4  COMPLETE</t>
  </si>
  <si>
    <t xml:space="preserve">Razorpay Buildathon - Track 03</t>
  </si>
  <si>
    <t xml:space="preserve">STATUS: the taxonomy is filled. Two columns are marked PROPOSED - review them.</t>
  </si>
  <si>
    <t xml:space="preserve">LEGEND</t>
  </si>
  <si>
    <t xml:space="preserve">Green  = derived and agreed.</t>
  </si>
  <si>
    <t xml:space="preserve">Orange = PROPOSED. Check and adjust freely - these are inventions, not facts.</t>
  </si>
  <si>
    <t xml:space="preserve">Grey italic = the two original worked examples.</t>
  </si>
  <si>
    <t xml:space="preserve">TWO COLUMN DEFINITIONS THAT MATTER</t>
  </si>
  <si>
    <t xml:space="preserve">retry_viable / optimal_delay = can a FRESH ATTEMPT on the SAME INSTRUMENT succeed,</t>
  </si>
  <si>
    <t xml:space="preserve">  and how soon. Without the 'same instrument' constraint the column is meaningless,</t>
  </si>
  <si>
    <t xml:space="preserve">  because you can always try something else, so nothing would ever be 'never'.</t>
  </si>
  <si>
    <t xml:space="preserve">ask_delay = how fast we send the customer the ask. Separate column because for</t>
  </si>
  <si>
    <t xml:space="preserve">  customer-action classes there is no agent retry at all, so 'no delay' was doing</t>
  </si>
  <si>
    <t xml:space="preserve">  two opposite jobs: 'act now' and 'nothing will ever help'.</t>
  </si>
  <si>
    <t xml:space="preserve">NOTE: retry_viable and bucket are independent.</t>
  </si>
  <si>
    <t xml:space="preserve">customer_input_error is retry_viable = immediately (the card is fine, a fresh attempt</t>
  </si>
  <si>
    <t xml:space="preserve">works right now) but bucket = customer-action (only the customer can trigger it).</t>
  </si>
  <si>
    <t xml:space="preserve">retry_viable answers CAN IT SUCCEED. bucket answers WHO TRIGGERS IT.</t>
  </si>
  <si>
    <t xml:space="preserve">THE THREE-SENTENCE SUMMARY</t>
  </si>
  <si>
    <t xml:space="preserve">never       = the instrument is dead.</t>
  </si>
  <si>
    <t xml:space="preserve">immediately = nothing is broken; a session lapsed or a human fumbled. Speed is all.</t>
  </si>
  <si>
    <t xml:space="preserve">after delay = a real-world condition must change: money arrives, a rail heals,</t>
  </si>
  <si>
    <t xml:space="preserve">              a cap resets, a lockout expires.</t>
  </si>
  <si>
    <t xml:space="preserve">If you can say the taxonomy in three sentences, it is coherent. Use this in the demo.</t>
  </si>
  <si>
    <t xml:space="preserve">CHECK THE base_recovery_prob ORDERING, NOT THE VALUES</t>
  </si>
  <si>
    <t xml:space="preserve">Nobody will challenge 0.35 vs 0.40. They WILL challenge a nonsensical ordering.</t>
  </si>
  <si>
    <t xml:space="preserve">Current ordering, high to low: downtime, lockout, limit, funds, session, input,</t>
  </si>
  <si>
    <t xml:space="preserve">mandate, issuer_decline, instrument_invalid. Time-fixes-it at the top; needs-a-real-</t>
  </si>
  <si>
    <t xml:space="preserve">change at the bottom. If that reads sensibly, the column is done.</t>
  </si>
  <si>
    <t xml:space="preserve">max_attempts COUNTS DIFFERENT THINGS PER BUCKET</t>
  </si>
  <si>
    <t xml:space="preserve">Autonomous classes: number of RETRIES before mark_uncollectible.</t>
  </si>
  <si>
    <t xml:space="preserve">Customer-action classes: number of ASKS before mark_uncollectible. Zero retries.</t>
  </si>
  <si>
    <t xml:space="preserve">SUB-RULES, AND WHY WE STOPPED SPLITTING</t>
  </si>
  <si>
    <t xml:space="preserve">The collapsing rule will find distinctions forever - every class is heterogeneous</t>
  </si>
  <si>
    <t xml:space="preserve">at some resolution. Stopping test: does the split change what the agent does often</t>
  </si>
  <si>
    <t xml:space="preserve">enough to be worth a class? It did for issuer_decline (autonomous vs customer-action</t>
  </si>
  <si>
    <t xml:space="preserve">is the primary architectural split). It did not for limit_exceeded or session_expiry,</t>
  </si>
  <si>
    <t xml:space="preserve">so those live in the sub_rules column instead. If a judge asks 'isn't X structurally</t>
  </si>
  <si>
    <t xml:space="preserve">different?', the answer is yes, here is the sub-rule, and here is why it is not a class.</t>
  </si>
  <si>
    <t xml:space="preserve">That answer is stronger than either splitting or not noticing.</t>
  </si>
  <si>
    <t xml:space="preserve">WEIGHT BY VOLUME, NOT BY CODE COUNT</t>
  </si>
  <si>
    <t xml:space="preserve">insufficient_funds has 2 codes and will be one of your highest-volume classes.</t>
  </si>
  <si>
    <t xml:space="preserve">issuer_decline has 15 because cards fail in many specific ways. Unrelated things.</t>
  </si>
  <si>
    <t xml:space="preserve">Day 1 generation weights use expected real-world frequency, NOT code_count.</t>
  </si>
  <si>
    <t xml:space="preserve">CHANGE LOG</t>
  </si>
  <si>
    <t xml:space="preserve">v2  authentication_failure -&gt; customer_input_error. Classes name ACTIONS, not causes.</t>
  </si>
  <si>
    <t xml:space="preserve">v3  mandate_failure added. issuer_decline split; lockouts -&gt; temporary_lockout.</t>
  </si>
  <si>
    <t xml:space="preserve">v4  ask_delay and sub_rules columns added. Taxonomy filled.</t>
  </si>
  <si>
    <t xml:space="preserve">STILL OPEN: mandate_failure is a SETUP funnel, not a debit funnel. Keep it or fold</t>
  </si>
  <si>
    <t xml:space="preserve">it into out_of_scope - either is defensible. Write down which and why.</t>
  </si>
  <si>
    <t xml:space="preserve">NEXT: export tab 2 to CSV. It is your Day 1 generator config AND your Day 3</t>
  </si>
  <si>
    <t xml:space="preserve">diagnosis lookup - same file, two uses.</t>
  </si>
  <si>
    <t xml:space="preserve">All 121 codes tagged. Orange = judgement call. Green = moved by the v3 split.</t>
  </si>
  <si>
    <t xml:space="preserve">reason</t>
  </si>
  <si>
    <t xml:space="preserve">docs_section</t>
  </si>
  <si>
    <t xml:space="preserve">class_id</t>
  </si>
  <si>
    <t xml:space="preserve">why</t>
  </si>
  <si>
    <t xml:space="preserve">debatable</t>
  </si>
  <si>
    <t xml:space="preserve">your_override</t>
  </si>
  <si>
    <t xml:space="preserve">amount_less_than_minimum_amount</t>
  </si>
  <si>
    <t xml:space="preserve">payment</t>
  </si>
  <si>
    <t xml:space="preserve">out_of_scope</t>
  </si>
  <si>
    <t xml:space="preserve">Merchant/bank fee config. Agent cannot fix; no customer recovery path.</t>
  </si>
  <si>
    <t xml:space="preserve">N</t>
  </si>
  <si>
    <t xml:space="preserve">authentication_failed</t>
  </si>
  <si>
    <t xml:space="preserve">customer_input_error</t>
  </si>
  <si>
    <t xml:space="preserve">3DS/OTP failed or cancelled. Method is fine, customer re-enters.</t>
  </si>
  <si>
    <t xml:space="preserve">bank_account_invalid</t>
  </si>
  <si>
    <t xml:space="preserve">instrument_invalid</t>
  </si>
  <si>
    <t xml:space="preserve">Account closed or invalid. Nothing works until they use another account.</t>
  </si>
  <si>
    <t xml:space="preserve">bank_account_validation_failed</t>
  </si>
  <si>
    <t xml:space="preserve">Details wrong or unverifiable. Customer re-enters.</t>
  </si>
  <si>
    <t xml:space="preserve">Y</t>
  </si>
  <si>
    <t xml:space="preserve">bank_not_enabled</t>
  </si>
  <si>
    <t xml:space="preserve">Merchant config. Razorpay must enable the bank.</t>
  </si>
  <si>
    <t xml:space="preserve">bank_technical_error</t>
  </si>
  <si>
    <t xml:space="preserve">technical_downtime</t>
  </si>
  <si>
    <t xml:space="preserve">Issuing bank CBS problem. Self-heals.</t>
  </si>
  <si>
    <t xml:space="preserve">capture_failed</t>
  </si>
  <si>
    <t xml:space="preserve">Merchant/Razorpay side. Not a customer failure.</t>
  </si>
  <si>
    <t xml:space="preserve">card_expired</t>
  </si>
  <si>
    <t xml:space="preserve">Card is dead. Retry can never succeed.</t>
  </si>
  <si>
    <t xml:space="preserve">card_network_not_enabled</t>
  </si>
  <si>
    <t xml:space="preserve">Merchant config.</t>
  </si>
  <si>
    <t xml:space="preserve">card_not_enrolled</t>
  </si>
  <si>
    <t xml:space="preserve">Card unusable for this flow until enrolled.</t>
  </si>
  <si>
    <t xml:space="preserve">card_type_invalid</t>
  </si>
  <si>
    <t xml:space="preserve">This card type cannot be used here.</t>
  </si>
  <si>
    <t xml:space="preserve">compliance_violation</t>
  </si>
  <si>
    <t xml:space="preserve">Not a recoverable customer failure.</t>
  </si>
  <si>
    <t xml:space="preserve">debit_instrument_blocked</t>
  </si>
  <si>
    <t xml:space="preserve">issuer_decline</t>
  </si>
  <si>
    <t xml:space="preserve">Card blocked by issuer or customer. Switch method.</t>
  </si>
  <si>
    <t xml:space="preserve">duplicate_refund_id</t>
  </si>
  <si>
    <t xml:space="preserve">Refund API error.</t>
  </si>
  <si>
    <t xml:space="preserve">duplicate_request</t>
  </si>
  <si>
    <t xml:space="preserve">Integration error.</t>
  </si>
  <si>
    <t xml:space="preserve">emi_greater_than_max_amount</t>
  </si>
  <si>
    <t xml:space="preserve">limit_exceeded</t>
  </si>
  <si>
    <t xml:space="preserve">Amount above EMI cap. Lower amount or switch method.</t>
  </si>
  <si>
    <t xml:space="preserve">emi_plan_unavailable</t>
  </si>
  <si>
    <t xml:space="preserve">Plan config, not a customer-side failure.</t>
  </si>
  <si>
    <t xml:space="preserve">incorrect_atm_pin</t>
  </si>
  <si>
    <t xml:space="preserve">Fumbled entry. Instrument fine.</t>
  </si>
  <si>
    <t xml:space="preserve">incorrect_card_details</t>
  </si>
  <si>
    <t xml:space="preserve">incorrect_card_expiry_date</t>
  </si>
  <si>
    <t xml:space="preserve">Mistyped, not actually expired. Note the contrast with card_expired.</t>
  </si>
  <si>
    <t xml:space="preserve">incorrect_cardholder_name</t>
  </si>
  <si>
    <t xml:space="preserve">Fumbled entry.</t>
  </si>
  <si>
    <t xml:space="preserve">incorrect_cvv</t>
  </si>
  <si>
    <t xml:space="preserve">incorrect_otp</t>
  </si>
  <si>
    <t xml:space="preserve">Fumbled entry. Customer likely still in session.</t>
  </si>
  <si>
    <t xml:space="preserve">incorrect_pin</t>
  </si>
  <si>
    <t xml:space="preserve">input_validation_failed</t>
  </si>
  <si>
    <t xml:space="preserve">Integration error in the payment request.</t>
  </si>
  <si>
    <t xml:space="preserve">insufficient_funds</t>
  </si>
  <si>
    <t xml:space="preserve">No money. Timing is the whole game.</t>
  </si>
  <si>
    <t xml:space="preserve">international_transaction_not_allowed</t>
  </si>
  <si>
    <t xml:space="preserve">Card restriction. Switch method.</t>
  </si>
  <si>
    <t xml:space="preserve">invalid_amount</t>
  </si>
  <si>
    <t xml:space="preserve">invalid_currency</t>
  </si>
  <si>
    <t xml:space="preserve">invalid_device</t>
  </si>
  <si>
    <t xml:space="preserve">Rare, no clean recovery path.</t>
  </si>
  <si>
    <t xml:space="preserve">invalid_email</t>
  </si>
  <si>
    <t xml:space="preserve">Request parameter error.</t>
  </si>
  <si>
    <t xml:space="preserve">invalid_mobile_number</t>
  </si>
  <si>
    <t xml:space="preserve">Customer re-enters and retries.</t>
  </si>
  <si>
    <t xml:space="preserve">invalid_order_id</t>
  </si>
  <si>
    <t xml:space="preserve">invalid_request</t>
  </si>
  <si>
    <t xml:space="preserve">invalid_user_details</t>
  </si>
  <si>
    <t xml:space="preserve">Customer re-enters.</t>
  </si>
  <si>
    <t xml:space="preserve">invalid_vpa</t>
  </si>
  <si>
    <t xml:space="preserve">Mistyped VPA. Contrast with transaction_on_vpa_restricted.</t>
  </si>
  <si>
    <t xml:space="preserve">live_mode_not_enabled</t>
  </si>
  <si>
    <t xml:space="preserve">merchant_not_activated</t>
  </si>
  <si>
    <t xml:space="preserve">Merchant account issue.</t>
  </si>
  <si>
    <t xml:space="preserve">mismatch_in_transaction_details</t>
  </si>
  <si>
    <t xml:space="preserve">mobile_number_invalid</t>
  </si>
  <si>
    <t xml:space="preserve">Duplicate of invalid_mobile_number.</t>
  </si>
  <si>
    <t xml:space="preserve">order_already_paid</t>
  </si>
  <si>
    <t xml:space="preserve">Already paid. Not a failure to recover.</t>
  </si>
  <si>
    <t xml:space="preserve">order_payment_method_mismatch</t>
  </si>
  <si>
    <t xml:space="preserve">order_amount_mismatch</t>
  </si>
  <si>
    <t xml:space="preserve">otp_attempts_exceeded</t>
  </si>
  <si>
    <t xml:space="preserve">temporary_lockout</t>
  </si>
  <si>
    <t xml:space="preserve">Locked out, not a typo. Cap resets on its own - agent can wait and retry.</t>
  </si>
  <si>
    <t xml:space="preserve">otp_expired</t>
  </si>
  <si>
    <t xml:space="preserve">session_expiry</t>
  </si>
  <si>
    <t xml:space="preserve">Time ran out. Re-initiate, do not retry.</t>
  </si>
  <si>
    <t xml:space="preserve">payment_cancelled</t>
  </si>
  <si>
    <t xml:space="preserve">Customer abandoned. Re-engage with a link.</t>
  </si>
  <si>
    <t xml:space="preserve">payment_failed</t>
  </si>
  <si>
    <t xml:space="preserve">Generic bank/wallet failure, no code. HIGHEST VOLUME, most ambiguous.</t>
  </si>
  <si>
    <t xml:space="preserve">payment_method_not_enabled</t>
  </si>
  <si>
    <t xml:space="preserve">Merchant config. Appears twice in the docs.</t>
  </si>
  <si>
    <t xml:space="preserve">payment_pending_approval</t>
  </si>
  <si>
    <t xml:space="preserve">Maker-checker flow, not a failure.</t>
  </si>
  <si>
    <t xml:space="preserve">payment_risk_check_failed</t>
  </si>
  <si>
    <t xml:space="preserve">Risk block. Switch method.</t>
  </si>
  <si>
    <t xml:space="preserve">payment_timed_out</t>
  </si>
  <si>
    <t xml:space="preserve">Window elapsed. Re-initiate.</t>
  </si>
  <si>
    <t xml:space="preserve">pin_attempts_exceeded</t>
  </si>
  <si>
    <t xml:space="preserve">pin_not_set</t>
  </si>
  <si>
    <t xml:space="preserve">Instrument not set up yet. Cannot retry into success.</t>
  </si>
  <si>
    <t xml:space="preserve">record_not_found</t>
  </si>
  <si>
    <t xml:space="preserve">API error.</t>
  </si>
  <si>
    <t xml:space="preserve">recurring_payment_not_enabled</t>
  </si>
  <si>
    <t xml:space="preserve">refund_limit_crossed</t>
  </si>
  <si>
    <t xml:space="preserve">Refund flow.</t>
  </si>
  <si>
    <t xml:space="preserve">server_error</t>
  </si>
  <si>
    <t xml:space="preserve">Razorpay server. Self-heals.</t>
  </si>
  <si>
    <t xml:space="preserve">transaction_daily_limit_exceeded</t>
  </si>
  <si>
    <t xml:space="preserve">Card daily cap. Wait 24h or switch instrument.</t>
  </si>
  <si>
    <t xml:space="preserve">transaction_limit_exceeded</t>
  </si>
  <si>
    <t xml:space="preserve">Per-transaction cap. Switch method.</t>
  </si>
  <si>
    <t xml:space="preserve">transaction_frequency_limit_exceeded</t>
  </si>
  <si>
    <t xml:space="preserve">NPCI frequency cap. Switch method.</t>
  </si>
  <si>
    <t xml:space="preserve">transaction_on_vpa_restricted</t>
  </si>
  <si>
    <t xml:space="preserve">PSP blocked this VPA. Not a typo.</t>
  </si>
  <si>
    <t xml:space="preserve">upi_app_technical_error</t>
  </si>
  <si>
    <t xml:space="preserve">PSP technical error. Retry or switch app.</t>
  </si>
  <si>
    <t xml:space="preserve">upi_autopay_not_supported_on_psp</t>
  </si>
  <si>
    <t xml:space="preserve">This PSP cannot do autopay. Relevant to your mandate scope.</t>
  </si>
  <si>
    <t xml:space="preserve">upi_collect_not_enabled</t>
  </si>
  <si>
    <t xml:space="preserve">upi_intent_not_enabled</t>
  </si>
  <si>
    <t xml:space="preserve">user_not_eligible</t>
  </si>
  <si>
    <t xml:space="preserve">Credit eligibility failure. Switch method.</t>
  </si>
  <si>
    <t xml:space="preserve">user_not_registered_for_netbanking</t>
  </si>
  <si>
    <t xml:space="preserve">Not usable until they register with the bank.</t>
  </si>
  <si>
    <t xml:space="preserve">verification_failed</t>
  </si>
  <si>
    <t xml:space="preserve">Status-check API failure. Explicitly temporary.</t>
  </si>
  <si>
    <t xml:space="preserve">gateway</t>
  </si>
  <si>
    <t xml:space="preserve">Duplicate of the payment-section entry.</t>
  </si>
  <si>
    <t xml:space="preserve">authorisation_declined_by_psp</t>
  </si>
  <si>
    <t xml:space="preserve">PSP downtime or VPA issue. Docs say retry, then switch app.</t>
  </si>
  <si>
    <t xml:space="preserve">bank_cutoff_in_progress</t>
  </si>
  <si>
    <t xml:space="preserve">Periodic bank event. Pure wait-and-retry. Best autonomous case.</t>
  </si>
  <si>
    <t xml:space="preserve">bank_not_available</t>
  </si>
  <si>
    <t xml:space="preserve">Bank downtime.</t>
  </si>
  <si>
    <t xml:space="preserve">Duplicate.</t>
  </si>
  <si>
    <t xml:space="preserve">beneficiary_account_does_not_exist</t>
  </si>
  <si>
    <t xml:space="preserve">Payout side.</t>
  </si>
  <si>
    <t xml:space="preserve">beneficiary_account_dormant</t>
  </si>
  <si>
    <t xml:space="preserve">card_declined</t>
  </si>
  <si>
    <t xml:space="preserve">Issuer said no. Switch instrument.</t>
  </si>
  <si>
    <t xml:space="preserve">collect_on_mcc_blocked</t>
  </si>
  <si>
    <t xml:space="preserve">Merchant category config.</t>
  </si>
  <si>
    <t xml:space="preserve">collect_request_pending</t>
  </si>
  <si>
    <t xml:space="preserve">Existing request still open. Wait or re-initiate.</t>
  </si>
  <si>
    <t xml:space="preserve">credit_limit_exceeded</t>
  </si>
  <si>
    <t xml:space="preserve">Over the credit line.</t>
  </si>
  <si>
    <t xml:space="preserve">credit_limit_expired</t>
  </si>
  <si>
    <t xml:space="preserve">Credit line no longer usable.</t>
  </si>
  <si>
    <t xml:space="preserve">credit_limit_inactive</t>
  </si>
  <si>
    <t xml:space="preserve">Credit line not active.</t>
  </si>
  <si>
    <t xml:space="preserve">credit_limit_not_approved</t>
  </si>
  <si>
    <t xml:space="preserve">Credit line not approved.</t>
  </si>
  <si>
    <t xml:space="preserve">credit_not_permitted</t>
  </si>
  <si>
    <t xml:space="preserve">Issuer refuses credit transactions.</t>
  </si>
  <si>
    <t xml:space="preserve">credit_failed</t>
  </si>
  <si>
    <t xml:space="preserve">Generic credit processing failure.</t>
  </si>
  <si>
    <t xml:space="preserve">debit_declined</t>
  </si>
  <si>
    <t xml:space="preserve">Issuer refused the debit.</t>
  </si>
  <si>
    <t xml:space="preserve">deemed_transaction</t>
  </si>
  <si>
    <t xml:space="preserve">Requires Razorpay intervention.</t>
  </si>
  <si>
    <t xml:space="preserve">debit_instrument_inactive</t>
  </si>
  <si>
    <t xml:space="preserve">Instrument not active.</t>
  </si>
  <si>
    <t xml:space="preserve">duplicate_rrn_found</t>
  </si>
  <si>
    <t xml:space="preserve">Technical duplicate.</t>
  </si>
  <si>
    <t xml:space="preserve">funds_blocked_by_mandate</t>
  </si>
  <si>
    <t xml:space="preserve">Money exists but is unavailable. Same recovery shape as no balance.</t>
  </si>
  <si>
    <t xml:space="preserve">gateway_technical_error</t>
  </si>
  <si>
    <t xml:space="preserve">Gateway issue.</t>
  </si>
  <si>
    <t xml:space="preserve">invalid_response_from_gateway</t>
  </si>
  <si>
    <t xml:space="preserve">Transient gateway issue.</t>
  </si>
  <si>
    <t xml:space="preserve">issuer_technical_error</t>
  </si>
  <si>
    <t xml:space="preserve">Issuer technical issue.</t>
  </si>
  <si>
    <t xml:space="preserve">mandate_creation_declined</t>
  </si>
  <si>
    <t xml:space="preserve">mandate_failure</t>
  </si>
  <si>
    <t xml:space="preserve">Mandate setup refused. NEW CLASS - see notes tab.</t>
  </si>
  <si>
    <t xml:space="preserve">mandate_creation_expired</t>
  </si>
  <si>
    <t xml:space="preserve">Mandate setup window elapsed.</t>
  </si>
  <si>
    <t xml:space="preserve">mandate_creation_failed</t>
  </si>
  <si>
    <t xml:space="preserve">Mandate setup failed.</t>
  </si>
  <si>
    <t xml:space="preserve">mandate_creation_timeout</t>
  </si>
  <si>
    <t xml:space="preserve">Mandate setup timed out.</t>
  </si>
  <si>
    <t xml:space="preserve">mcc_amount_limit_exceeded</t>
  </si>
  <si>
    <t xml:space="preserve">Merchant category limit, merchant must act.</t>
  </si>
  <si>
    <t xml:space="preserve">payment_amount_tampered</t>
  </si>
  <si>
    <t xml:space="preserve">Integrity failure, not recoverable by nudging.</t>
  </si>
  <si>
    <t xml:space="preserve">payment_collect_request_expired</t>
  </si>
  <si>
    <t xml:space="preserve">UPI collect elapsed. Re-initiate.</t>
  </si>
  <si>
    <t xml:space="preserve">payment_declined</t>
  </si>
  <si>
    <t xml:space="preserve">Generic decline.</t>
  </si>
  <si>
    <t xml:space="preserve">payment_declined_due_to_high_traffic</t>
  </si>
  <si>
    <t xml:space="preserve">Load-shedding at gateway. Retry later.</t>
  </si>
  <si>
    <t xml:space="preserve">Duplicate. Your largest and vaguest bucket.</t>
  </si>
  <si>
    <t xml:space="preserve">payment_pending</t>
  </si>
  <si>
    <t xml:space="preserve">Not failed yet. Poll, do not recover.</t>
  </si>
  <si>
    <t xml:space="preserve">payment_session_expired</t>
  </si>
  <si>
    <t xml:space="preserve">Session elapsed.</t>
  </si>
  <si>
    <t xml:space="preserve">psp_app_not_available</t>
  </si>
  <si>
    <t xml:space="preserve">PSP downtime.</t>
  </si>
  <si>
    <t xml:space="preserve">psp_app_not_supported</t>
  </si>
  <si>
    <t xml:space="preserve">App blacklisted. This PSP will never work.</t>
  </si>
  <si>
    <t xml:space="preserve">psp_not_available</t>
  </si>
  <si>
    <t xml:space="preserve">psp_not_registered</t>
  </si>
  <si>
    <t xml:space="preserve">Not usable until customer registers.</t>
  </si>
  <si>
    <t xml:space="preserve">reqauth_mandate_not_acknowledged</t>
  </si>
  <si>
    <t xml:space="preserve">Customer must acknowledge the mandate.</t>
  </si>
  <si>
    <t xml:space="preserve">request_timed_out</t>
  </si>
  <si>
    <t xml:space="preserve">Transient.</t>
  </si>
  <si>
    <t xml:space="preserve">transaction_daily_count_exceeded</t>
  </si>
  <si>
    <t xml:space="preserve">Daily count cap.</t>
  </si>
  <si>
    <t xml:space="preserve">vpa_resolution_failed</t>
  </si>
  <si>
    <t xml:space="preserve">UPI network validation failure, explicitly technical.</t>
  </si>
  <si>
    <t xml:space="preserve">Green = derived and agreed. Orange = PROPOSED, adjust freely. Check the base_recovery_prob ORDERING, not the values.</t>
  </si>
  <si>
    <t xml:space="preserve">code_count</t>
  </si>
  <si>
    <t xml:space="preserve">bucket</t>
  </si>
  <si>
    <t xml:space="preserve">retry_viable</t>
  </si>
  <si>
    <t xml:space="preserve">optimal_delay</t>
  </si>
  <si>
    <t xml:space="preserve">ask_delay</t>
  </si>
  <si>
    <t xml:space="preserve">customer_action_required</t>
  </si>
  <si>
    <t xml:space="preserve">method_switch_helps</t>
  </si>
  <si>
    <t xml:space="preserve">message_needed</t>
  </si>
  <si>
    <t xml:space="preserve">base_recovery_prob</t>
  </si>
  <si>
    <t xml:space="preserve">max_attempts</t>
  </si>
  <si>
    <t xml:space="preserve">sub_rules</t>
  </si>
  <si>
    <t xml:space="preserve">reasoning_one_line</t>
  </si>
  <si>
    <t xml:space="preserve">autonomous (if mandate)</t>
  </si>
  <si>
    <t xml:space="preserve">after delay</t>
  </si>
  <si>
    <t xml:space="preserve">next payday window (1st/7th)</t>
  </si>
  <si>
    <t xml:space="preserve">24 hrs after first failed retry</t>
  </si>
  <si>
    <t xml:space="preserve">none</t>
  </si>
  <si>
    <t xml:space="preserve">no</t>
  </si>
  <si>
    <t xml:space="preserve">action-request, gentle</t>
  </si>
  <si>
    <t xml:space="preserve">funds_blocked_by_mandate: money exists but is locked by another mandate - same timing, different copy</t>
  </si>
  <si>
    <t xml:space="preserve">Money arrives on salary day; timing is the whole game.</t>
  </si>
  <si>
    <t xml:space="preserve">autonomous</t>
  </si>
  <si>
    <t xml:space="preserve">2-6 hrs, until downtime clears</t>
  </si>
  <si>
    <t xml:space="preserve">n/a - do not contact</t>
  </si>
  <si>
    <t xml:space="preserve">yes</t>
  </si>
  <si>
    <t xml:space="preserve">If downtime persists beyond ~12 hrs, switch rail rather than keep waiting</t>
  </si>
  <si>
    <t xml:space="preserve">Rail self-heals. Messaging alarms a blameless customer.</t>
  </si>
  <si>
    <t xml:space="preserve">exponential backoff 30min / 2h / 6h, cap 24h</t>
  </si>
  <si>
    <t xml:space="preserve">n/a unless backoff exhausted</t>
  </si>
  <si>
    <t xml:space="preserve">Reset window is issuer-specific and undocumented - back off rather than assume a fixed wait</t>
  </si>
  <si>
    <t xml:space="preserve">Security lockout, not a typo. Time clears it; attempts do not.</t>
  </si>
  <si>
    <t xml:space="preserve">after daily boundary, ~00:30 IST</t>
  </si>
  <si>
    <t xml:space="preserve">immediate, structural caps only</t>
  </si>
  <si>
    <t xml:space="preserve">none (daily) / update instrument (structural)</t>
  </si>
  <si>
    <t xml:space="preserve">none (daily) / action-request (structural)</t>
  </si>
  <si>
    <t xml:space="preserve">transaction_limit_exceeded and credit_limit_exceeded are STRUCTURAL - waiting never helps. Treat as customer-action: lower the amount or switch card</t>
  </si>
  <si>
    <t xml:space="preserve">Daily caps reset on a clock; per-transaction caps do not.</t>
  </si>
  <si>
    <t xml:space="preserve">immediately</t>
  </si>
  <si>
    <t xml:space="preserve">0 - immediate re-trigger</t>
  </si>
  <si>
    <t xml:space="preserve">under 5 min</t>
  </si>
  <si>
    <t xml:space="preserve">none (mandate) / re-initiate (checkout)</t>
  </si>
  <si>
    <t xml:space="preserve">action-request</t>
  </si>
  <si>
    <t xml:space="preserve">payment_cancelled is a deliberate abandonment - wait ~2 hrs before contact, re-pinging instantly reads as pestering</t>
  </si>
  <si>
    <t xml:space="preserve">Nothing is broken; the clock ran out. Speed is the whole play.</t>
  </si>
  <si>
    <t xml:space="preserve">customer-action</t>
  </si>
  <si>
    <t xml:space="preserve">never</t>
  </si>
  <si>
    <t xml:space="preserve">n/a - retry never viable</t>
  </si>
  <si>
    <t xml:space="preserve">immediate</t>
  </si>
  <si>
    <t xml:space="preserve">update instrument</t>
  </si>
  <si>
    <t xml:space="preserve">Instrument is dead. Every retry is a wasted attempt.</t>
  </si>
  <si>
    <t xml:space="preserve">n/a - agent cannot trigger it</t>
  </si>
  <si>
    <t xml:space="preserve">re-enter details</t>
  </si>
  <si>
    <t xml:space="preserve">Copy differs by code (wrong OTP vs mistyped card) but the action is identical - template variation, not a class</t>
  </si>
  <si>
    <t xml:space="preserve">Instrument is fine; a human fumbled a form. Catch them in session.</t>
  </si>
  <si>
    <t xml:space="preserve">update instrument / contact bank</t>
  </si>
  <si>
    <t xml:space="preserve">payment_failed is the generic no-code bucket and will be your largest - consider logging it separately to measure diagnostic uncertainty</t>
  </si>
  <si>
    <t xml:space="preserve">The issuer refused. Same card, same answer. Switch instrument.</t>
  </si>
  <si>
    <t xml:space="preserve">immediate (declined: 24 hrs)</t>
  </si>
  <si>
    <t xml:space="preserve">re-authorize</t>
  </si>
  <si>
    <t xml:space="preserve">mandate_creation_declined is a refusal, not a timeout - it will not reverse in minutes, so delay the ask</t>
  </si>
  <si>
    <t xml:space="preserve">Setup failure, not a debit failure. Needs fresh authorisation.</t>
  </si>
  <si>
    <t xml:space="preserve">Not a class. Tagging bin only - never reaches the pipeline.</t>
  </si>
  <si>
    <t xml:space="preserve">TOTAL TAGGED</t>
  </si>
  <si>
    <t xml:space="preserve">IN SCOPE</t>
  </si>
  <si>
    <t xml:space="preserve">AUTONOMOUS CLASSES</t>
  </si>
  <si>
    <t xml:space="preserve">CUSTOMER-ACTION CLASSES</t>
  </si>
  <si>
    <t xml:space="preserve">ALLOWED VALUES</t>
  </si>
  <si>
    <t xml:space="preserve">autonomous  |  customer-action  |  autonomous (if mandate)</t>
  </si>
  <si>
    <t xml:space="preserve">never  |  after delay  |  immediately   (SAME instrument, fresh attempt)</t>
  </si>
  <si>
    <t xml:space="preserve">agent retry timing. n/a when the agent cannot trigger a retry.</t>
  </si>
  <si>
    <t xml:space="preserve">how fast the customer-facing ask goes out. n/a = do not contact.</t>
  </si>
  <si>
    <t xml:space="preserve">none  |  update instrument  |  re-authorize  |  re-enter details  |  contact bank</t>
  </si>
  <si>
    <t xml:space="preserve">yes  |  no</t>
  </si>
  <si>
    <t xml:space="preserve">none  |  informational  |  action-request</t>
  </si>
  <si>
    <t xml:space="preserve">0.00-1.00. Invented. Check the ORDERING, not the values.</t>
  </si>
  <si>
    <t xml:space="preserve">autonomous = retries. customer-action = asks (zero retries).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</si>
</sst>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2" t="s">
        <v>33</v>
      </c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2" t="s">
        <v>35</v>
      </c>
    </row>
    <row r="45" customFormat="false" ht="15" hidden="false" customHeight="false" outlineLevel="0" collapsed="false">
      <c r="A45" s="2" t="s">
        <v>36</v>
      </c>
    </row>
    <row r="46" customFormat="false" ht="15" hidden="false" customHeight="false" outlineLevel="0" collapsed="false">
      <c r="A46" s="2" t="s">
        <v>37</v>
      </c>
    </row>
    <row r="47" customFormat="false" ht="15" hidden="false" customHeight="false" outlineLevel="0" collapsed="false">
      <c r="A47" s="2" t="s">
        <v>38</v>
      </c>
    </row>
    <row r="48" customFormat="false" ht="15" hidden="false" customHeight="false" outlineLevel="0" collapsed="false">
      <c r="A48" s="2" t="s">
        <v>39</v>
      </c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3" t="s">
        <v>40</v>
      </c>
    </row>
    <row r="51" customFormat="false" ht="15" hidden="false" customHeight="false" outlineLevel="0" collapsed="false">
      <c r="A51" s="2" t="s">
        <v>41</v>
      </c>
    </row>
    <row r="52" customFormat="false" ht="15" hidden="false" customHeight="false" outlineLevel="0" collapsed="false">
      <c r="A52" s="2" t="s">
        <v>42</v>
      </c>
    </row>
    <row r="53" customFormat="false" ht="15" hidden="false" customHeight="false" outlineLevel="0" collapsed="false">
      <c r="A53" s="2" t="s">
        <v>43</v>
      </c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3" t="s">
        <v>44</v>
      </c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2" t="s">
        <v>46</v>
      </c>
    </row>
    <row r="58" customFormat="false" ht="15" hidden="false" customHeight="false" outlineLevel="0" collapsed="false">
      <c r="A58" s="2" t="s">
        <v>47</v>
      </c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 t="s">
        <v>48</v>
      </c>
    </row>
    <row r="61" customFormat="false" ht="15" hidden="false" customHeight="false" outlineLevel="0" collapsed="false">
      <c r="A61" s="2" t="s">
        <v>49</v>
      </c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 t="s">
        <v>50</v>
      </c>
    </row>
    <row r="64" customFormat="false" ht="15" hidden="false" customHeight="false" outlineLevel="0" collapsed="false">
      <c r="A64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3" t="s">
        <v>52</v>
      </c>
    </row>
    <row r="3" customFormat="false" ht="15" hidden="false" customHeight="false" outlineLevel="0" collapsed="false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</row>
    <row r="4" customFormat="false" ht="15" hidden="false" customHeight="false" outlineLevel="0" collapsed="false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6"/>
    </row>
    <row r="5" customFormat="false" ht="15" hidden="false" customHeight="false" outlineLevel="0" collapsed="false">
      <c r="A5" s="5" t="s">
        <v>64</v>
      </c>
      <c r="B5" s="5" t="s">
        <v>60</v>
      </c>
      <c r="C5" s="5" t="s">
        <v>65</v>
      </c>
      <c r="D5" s="5" t="s">
        <v>66</v>
      </c>
      <c r="E5" s="5" t="s">
        <v>63</v>
      </c>
      <c r="F5" s="6"/>
    </row>
    <row r="6" customFormat="false" ht="15" hidden="false" customHeight="false" outlineLevel="0" collapsed="false">
      <c r="A6" s="5" t="s">
        <v>67</v>
      </c>
      <c r="B6" s="5" t="s">
        <v>60</v>
      </c>
      <c r="C6" s="5" t="s">
        <v>68</v>
      </c>
      <c r="D6" s="5" t="s">
        <v>69</v>
      </c>
      <c r="E6" s="5" t="s">
        <v>63</v>
      </c>
      <c r="F6" s="6"/>
    </row>
    <row r="7" customFormat="false" ht="15" hidden="false" customHeight="false" outlineLevel="0" collapsed="false">
      <c r="A7" s="7" t="s">
        <v>70</v>
      </c>
      <c r="B7" s="7" t="s">
        <v>60</v>
      </c>
      <c r="C7" s="7" t="s">
        <v>65</v>
      </c>
      <c r="D7" s="7" t="s">
        <v>71</v>
      </c>
      <c r="E7" s="7" t="s">
        <v>72</v>
      </c>
      <c r="F7" s="6"/>
    </row>
    <row r="8" customFormat="false" ht="15" hidden="false" customHeight="false" outlineLevel="0" collapsed="false">
      <c r="A8" s="5" t="s">
        <v>73</v>
      </c>
      <c r="B8" s="5" t="s">
        <v>60</v>
      </c>
      <c r="C8" s="5" t="s">
        <v>61</v>
      </c>
      <c r="D8" s="5" t="s">
        <v>74</v>
      </c>
      <c r="E8" s="5" t="s">
        <v>63</v>
      </c>
      <c r="F8" s="6"/>
    </row>
    <row r="9" customFormat="false" ht="15" hidden="false" customHeight="false" outlineLevel="0" collapsed="false">
      <c r="A9" s="5" t="s">
        <v>75</v>
      </c>
      <c r="B9" s="5" t="s">
        <v>60</v>
      </c>
      <c r="C9" s="5" t="s">
        <v>76</v>
      </c>
      <c r="D9" s="5" t="s">
        <v>77</v>
      </c>
      <c r="E9" s="5" t="s">
        <v>63</v>
      </c>
      <c r="F9" s="6"/>
    </row>
    <row r="10" customFormat="false" ht="15" hidden="false" customHeight="false" outlineLevel="0" collapsed="false">
      <c r="A10" s="5" t="s">
        <v>78</v>
      </c>
      <c r="B10" s="5" t="s">
        <v>60</v>
      </c>
      <c r="C10" s="5" t="s">
        <v>61</v>
      </c>
      <c r="D10" s="5" t="s">
        <v>79</v>
      </c>
      <c r="E10" s="5" t="s">
        <v>63</v>
      </c>
      <c r="F10" s="6"/>
    </row>
    <row r="11" customFormat="false" ht="15" hidden="false" customHeight="false" outlineLevel="0" collapsed="false">
      <c r="A11" s="5" t="s">
        <v>80</v>
      </c>
      <c r="B11" s="5" t="s">
        <v>60</v>
      </c>
      <c r="C11" s="5" t="s">
        <v>68</v>
      </c>
      <c r="D11" s="5" t="s">
        <v>81</v>
      </c>
      <c r="E11" s="5" t="s">
        <v>63</v>
      </c>
      <c r="F11" s="6"/>
    </row>
    <row r="12" customFormat="false" ht="15" hidden="false" customHeight="false" outlineLevel="0" collapsed="false">
      <c r="A12" s="5" t="s">
        <v>82</v>
      </c>
      <c r="B12" s="5" t="s">
        <v>60</v>
      </c>
      <c r="C12" s="5" t="s">
        <v>61</v>
      </c>
      <c r="D12" s="5" t="s">
        <v>83</v>
      </c>
      <c r="E12" s="5" t="s">
        <v>63</v>
      </c>
      <c r="F12" s="6"/>
    </row>
    <row r="13" customFormat="false" ht="15" hidden="false" customHeight="false" outlineLevel="0" collapsed="false">
      <c r="A13" s="7" t="s">
        <v>84</v>
      </c>
      <c r="B13" s="7" t="s">
        <v>60</v>
      </c>
      <c r="C13" s="7" t="s">
        <v>68</v>
      </c>
      <c r="D13" s="7" t="s">
        <v>85</v>
      </c>
      <c r="E13" s="7" t="s">
        <v>72</v>
      </c>
      <c r="F13" s="6"/>
    </row>
    <row r="14" customFormat="false" ht="15" hidden="false" customHeight="false" outlineLevel="0" collapsed="false">
      <c r="A14" s="7" t="s">
        <v>86</v>
      </c>
      <c r="B14" s="7" t="s">
        <v>60</v>
      </c>
      <c r="C14" s="7" t="s">
        <v>68</v>
      </c>
      <c r="D14" s="7" t="s">
        <v>87</v>
      </c>
      <c r="E14" s="7" t="s">
        <v>72</v>
      </c>
      <c r="F14" s="6"/>
    </row>
    <row r="15" customFormat="false" ht="15" hidden="false" customHeight="false" outlineLevel="0" collapsed="false">
      <c r="A15" s="5" t="s">
        <v>88</v>
      </c>
      <c r="B15" s="5" t="s">
        <v>60</v>
      </c>
      <c r="C15" s="5" t="s">
        <v>61</v>
      </c>
      <c r="D15" s="5" t="s">
        <v>89</v>
      </c>
      <c r="E15" s="5" t="s">
        <v>63</v>
      </c>
      <c r="F15" s="6"/>
    </row>
    <row r="16" customFormat="false" ht="15" hidden="false" customHeight="false" outlineLevel="0" collapsed="false">
      <c r="A16" s="5" t="s">
        <v>90</v>
      </c>
      <c r="B16" s="5" t="s">
        <v>60</v>
      </c>
      <c r="C16" s="5" t="s">
        <v>91</v>
      </c>
      <c r="D16" s="5" t="s">
        <v>92</v>
      </c>
      <c r="E16" s="5" t="s">
        <v>63</v>
      </c>
      <c r="F16" s="6"/>
    </row>
    <row r="17" customFormat="false" ht="15" hidden="false" customHeight="false" outlineLevel="0" collapsed="false">
      <c r="A17" s="5" t="s">
        <v>93</v>
      </c>
      <c r="B17" s="5" t="s">
        <v>60</v>
      </c>
      <c r="C17" s="5" t="s">
        <v>61</v>
      </c>
      <c r="D17" s="5" t="s">
        <v>94</v>
      </c>
      <c r="E17" s="5" t="s">
        <v>63</v>
      </c>
      <c r="F17" s="6"/>
    </row>
    <row r="18" customFormat="false" ht="15" hidden="false" customHeight="false" outlineLevel="0" collapsed="false">
      <c r="A18" s="5" t="s">
        <v>95</v>
      </c>
      <c r="B18" s="5" t="s">
        <v>60</v>
      </c>
      <c r="C18" s="5" t="s">
        <v>61</v>
      </c>
      <c r="D18" s="5" t="s">
        <v>96</v>
      </c>
      <c r="E18" s="5" t="s">
        <v>63</v>
      </c>
      <c r="F18" s="6"/>
    </row>
    <row r="19" customFormat="false" ht="15" hidden="false" customHeight="false" outlineLevel="0" collapsed="false">
      <c r="A19" s="5" t="s">
        <v>97</v>
      </c>
      <c r="B19" s="5" t="s">
        <v>60</v>
      </c>
      <c r="C19" s="5" t="s">
        <v>98</v>
      </c>
      <c r="D19" s="5" t="s">
        <v>99</v>
      </c>
      <c r="E19" s="5" t="s">
        <v>63</v>
      </c>
      <c r="F19" s="6"/>
    </row>
    <row r="20" customFormat="false" ht="15" hidden="false" customHeight="false" outlineLevel="0" collapsed="false">
      <c r="A20" s="7" t="s">
        <v>100</v>
      </c>
      <c r="B20" s="7" t="s">
        <v>60</v>
      </c>
      <c r="C20" s="7" t="s">
        <v>61</v>
      </c>
      <c r="D20" s="7" t="s">
        <v>101</v>
      </c>
      <c r="E20" s="7" t="s">
        <v>72</v>
      </c>
      <c r="F20" s="6"/>
    </row>
    <row r="21" customFormat="false" ht="15" hidden="false" customHeight="false" outlineLevel="0" collapsed="false">
      <c r="A21" s="5" t="s">
        <v>102</v>
      </c>
      <c r="B21" s="5" t="s">
        <v>60</v>
      </c>
      <c r="C21" s="5" t="s">
        <v>65</v>
      </c>
      <c r="D21" s="5" t="s">
        <v>103</v>
      </c>
      <c r="E21" s="5" t="s">
        <v>63</v>
      </c>
      <c r="F21" s="6"/>
    </row>
    <row r="22" customFormat="false" ht="15" hidden="false" customHeight="false" outlineLevel="0" collapsed="false">
      <c r="A22" s="5" t="s">
        <v>104</v>
      </c>
      <c r="B22" s="5" t="s">
        <v>60</v>
      </c>
      <c r="C22" s="5" t="s">
        <v>65</v>
      </c>
      <c r="D22" s="5" t="s">
        <v>103</v>
      </c>
      <c r="E22" s="5" t="s">
        <v>63</v>
      </c>
      <c r="F22" s="6"/>
    </row>
    <row r="23" customFormat="false" ht="15" hidden="false" customHeight="false" outlineLevel="0" collapsed="false">
      <c r="A23" s="5" t="s">
        <v>105</v>
      </c>
      <c r="B23" s="5" t="s">
        <v>60</v>
      </c>
      <c r="C23" s="5" t="s">
        <v>65</v>
      </c>
      <c r="D23" s="5" t="s">
        <v>106</v>
      </c>
      <c r="E23" s="5" t="s">
        <v>63</v>
      </c>
      <c r="F23" s="6"/>
    </row>
    <row r="24" customFormat="false" ht="15" hidden="false" customHeight="false" outlineLevel="0" collapsed="false">
      <c r="A24" s="5" t="s">
        <v>107</v>
      </c>
      <c r="B24" s="5" t="s">
        <v>60</v>
      </c>
      <c r="C24" s="5" t="s">
        <v>65</v>
      </c>
      <c r="D24" s="5" t="s">
        <v>108</v>
      </c>
      <c r="E24" s="5" t="s">
        <v>63</v>
      </c>
      <c r="F24" s="6"/>
    </row>
    <row r="25" customFormat="false" ht="15" hidden="false" customHeight="false" outlineLevel="0" collapsed="false">
      <c r="A25" s="5" t="s">
        <v>109</v>
      </c>
      <c r="B25" s="5" t="s">
        <v>60</v>
      </c>
      <c r="C25" s="5" t="s">
        <v>65</v>
      </c>
      <c r="D25" s="5" t="s">
        <v>108</v>
      </c>
      <c r="E25" s="5" t="s">
        <v>63</v>
      </c>
      <c r="F25" s="6"/>
    </row>
    <row r="26" customFormat="false" ht="15" hidden="false" customHeight="false" outlineLevel="0" collapsed="false">
      <c r="A26" s="5" t="s">
        <v>110</v>
      </c>
      <c r="B26" s="5" t="s">
        <v>60</v>
      </c>
      <c r="C26" s="5" t="s">
        <v>65</v>
      </c>
      <c r="D26" s="5" t="s">
        <v>111</v>
      </c>
      <c r="E26" s="5" t="s">
        <v>63</v>
      </c>
      <c r="F26" s="6"/>
    </row>
    <row r="27" customFormat="false" ht="15" hidden="false" customHeight="false" outlineLevel="0" collapsed="false">
      <c r="A27" s="5" t="s">
        <v>112</v>
      </c>
      <c r="B27" s="5" t="s">
        <v>60</v>
      </c>
      <c r="C27" s="5" t="s">
        <v>65</v>
      </c>
      <c r="D27" s="5" t="s">
        <v>108</v>
      </c>
      <c r="E27" s="5" t="s">
        <v>63</v>
      </c>
      <c r="F27" s="6"/>
    </row>
    <row r="28" customFormat="false" ht="15" hidden="false" customHeight="false" outlineLevel="0" collapsed="false">
      <c r="A28" s="5" t="s">
        <v>113</v>
      </c>
      <c r="B28" s="5" t="s">
        <v>60</v>
      </c>
      <c r="C28" s="5" t="s">
        <v>61</v>
      </c>
      <c r="D28" s="5" t="s">
        <v>114</v>
      </c>
      <c r="E28" s="5" t="s">
        <v>63</v>
      </c>
      <c r="F28" s="6"/>
    </row>
    <row r="29" customFormat="false" ht="15" hidden="false" customHeight="false" outlineLevel="0" collapsed="false">
      <c r="A29" s="5" t="s">
        <v>115</v>
      </c>
      <c r="B29" s="5" t="s">
        <v>60</v>
      </c>
      <c r="C29" s="5" t="s">
        <v>115</v>
      </c>
      <c r="D29" s="5" t="s">
        <v>116</v>
      </c>
      <c r="E29" s="5" t="s">
        <v>63</v>
      </c>
      <c r="F29" s="6"/>
    </row>
    <row r="30" customFormat="false" ht="15" hidden="false" customHeight="false" outlineLevel="0" collapsed="false">
      <c r="A30" s="7" t="s">
        <v>117</v>
      </c>
      <c r="B30" s="7" t="s">
        <v>60</v>
      </c>
      <c r="C30" s="7" t="s">
        <v>91</v>
      </c>
      <c r="D30" s="7" t="s">
        <v>118</v>
      </c>
      <c r="E30" s="7" t="s">
        <v>72</v>
      </c>
      <c r="F30" s="6"/>
    </row>
    <row r="31" customFormat="false" ht="15" hidden="false" customHeight="false" outlineLevel="0" collapsed="false">
      <c r="A31" s="5" t="s">
        <v>119</v>
      </c>
      <c r="B31" s="5" t="s">
        <v>60</v>
      </c>
      <c r="C31" s="5" t="s">
        <v>61</v>
      </c>
      <c r="D31" s="5" t="s">
        <v>96</v>
      </c>
      <c r="E31" s="5" t="s">
        <v>63</v>
      </c>
      <c r="F31" s="6"/>
    </row>
    <row r="32" customFormat="false" ht="15" hidden="false" customHeight="false" outlineLevel="0" collapsed="false">
      <c r="A32" s="5" t="s">
        <v>120</v>
      </c>
      <c r="B32" s="5" t="s">
        <v>60</v>
      </c>
      <c r="C32" s="5" t="s">
        <v>61</v>
      </c>
      <c r="D32" s="5" t="s">
        <v>96</v>
      </c>
      <c r="E32" s="5" t="s">
        <v>63</v>
      </c>
      <c r="F32" s="6"/>
    </row>
    <row r="33" customFormat="false" ht="15" hidden="false" customHeight="false" outlineLevel="0" collapsed="false">
      <c r="A33" s="7" t="s">
        <v>121</v>
      </c>
      <c r="B33" s="7" t="s">
        <v>60</v>
      </c>
      <c r="C33" s="7" t="s">
        <v>61</v>
      </c>
      <c r="D33" s="7" t="s">
        <v>122</v>
      </c>
      <c r="E33" s="7" t="s">
        <v>72</v>
      </c>
      <c r="F33" s="6"/>
    </row>
    <row r="34" customFormat="false" ht="15" hidden="false" customHeight="false" outlineLevel="0" collapsed="false">
      <c r="A34" s="7" t="s">
        <v>123</v>
      </c>
      <c r="B34" s="7" t="s">
        <v>60</v>
      </c>
      <c r="C34" s="7" t="s">
        <v>61</v>
      </c>
      <c r="D34" s="7" t="s">
        <v>124</v>
      </c>
      <c r="E34" s="7" t="s">
        <v>72</v>
      </c>
      <c r="F34" s="6"/>
    </row>
    <row r="35" customFormat="false" ht="15" hidden="false" customHeight="false" outlineLevel="0" collapsed="false">
      <c r="A35" s="5" t="s">
        <v>125</v>
      </c>
      <c r="B35" s="5" t="s">
        <v>60</v>
      </c>
      <c r="C35" s="5" t="s">
        <v>65</v>
      </c>
      <c r="D35" s="5" t="s">
        <v>126</v>
      </c>
      <c r="E35" s="5" t="s">
        <v>63</v>
      </c>
      <c r="F35" s="6"/>
    </row>
    <row r="36" customFormat="false" ht="15" hidden="false" customHeight="false" outlineLevel="0" collapsed="false">
      <c r="A36" s="5" t="s">
        <v>127</v>
      </c>
      <c r="B36" s="5" t="s">
        <v>60</v>
      </c>
      <c r="C36" s="5" t="s">
        <v>61</v>
      </c>
      <c r="D36" s="5" t="s">
        <v>96</v>
      </c>
      <c r="E36" s="5" t="s">
        <v>63</v>
      </c>
      <c r="F36" s="6"/>
    </row>
    <row r="37" customFormat="false" ht="15" hidden="false" customHeight="false" outlineLevel="0" collapsed="false">
      <c r="A37" s="5" t="s">
        <v>128</v>
      </c>
      <c r="B37" s="5" t="s">
        <v>60</v>
      </c>
      <c r="C37" s="5" t="s">
        <v>61</v>
      </c>
      <c r="D37" s="5" t="s">
        <v>96</v>
      </c>
      <c r="E37" s="5" t="s">
        <v>63</v>
      </c>
      <c r="F37" s="6"/>
    </row>
    <row r="38" customFormat="false" ht="15" hidden="false" customHeight="false" outlineLevel="0" collapsed="false">
      <c r="A38" s="5" t="s">
        <v>129</v>
      </c>
      <c r="B38" s="5" t="s">
        <v>60</v>
      </c>
      <c r="C38" s="5" t="s">
        <v>65</v>
      </c>
      <c r="D38" s="5" t="s">
        <v>130</v>
      </c>
      <c r="E38" s="5" t="s">
        <v>63</v>
      </c>
      <c r="F38" s="6"/>
    </row>
    <row r="39" customFormat="false" ht="15" hidden="false" customHeight="false" outlineLevel="0" collapsed="false">
      <c r="A39" s="5" t="s">
        <v>131</v>
      </c>
      <c r="B39" s="5" t="s">
        <v>60</v>
      </c>
      <c r="C39" s="5" t="s">
        <v>65</v>
      </c>
      <c r="D39" s="5" t="s">
        <v>132</v>
      </c>
      <c r="E39" s="5" t="s">
        <v>63</v>
      </c>
      <c r="F39" s="6"/>
    </row>
    <row r="40" customFormat="false" ht="15" hidden="false" customHeight="false" outlineLevel="0" collapsed="false">
      <c r="A40" s="5" t="s">
        <v>133</v>
      </c>
      <c r="B40" s="5" t="s">
        <v>60</v>
      </c>
      <c r="C40" s="5" t="s">
        <v>61</v>
      </c>
      <c r="D40" s="5" t="s">
        <v>96</v>
      </c>
      <c r="E40" s="5" t="s">
        <v>63</v>
      </c>
      <c r="F40" s="6"/>
    </row>
    <row r="41" customFormat="false" ht="15" hidden="false" customHeight="false" outlineLevel="0" collapsed="false">
      <c r="A41" s="5" t="s">
        <v>134</v>
      </c>
      <c r="B41" s="5" t="s">
        <v>60</v>
      </c>
      <c r="C41" s="5" t="s">
        <v>61</v>
      </c>
      <c r="D41" s="5" t="s">
        <v>135</v>
      </c>
      <c r="E41" s="5" t="s">
        <v>63</v>
      </c>
      <c r="F41" s="6"/>
    </row>
    <row r="42" customFormat="false" ht="15" hidden="false" customHeight="false" outlineLevel="0" collapsed="false">
      <c r="A42" s="5" t="s">
        <v>136</v>
      </c>
      <c r="B42" s="5" t="s">
        <v>60</v>
      </c>
      <c r="C42" s="5" t="s">
        <v>61</v>
      </c>
      <c r="D42" s="5" t="s">
        <v>96</v>
      </c>
      <c r="E42" s="5" t="s">
        <v>63</v>
      </c>
      <c r="F42" s="6"/>
    </row>
    <row r="43" customFormat="false" ht="15" hidden="false" customHeight="false" outlineLevel="0" collapsed="false">
      <c r="A43" s="5" t="s">
        <v>137</v>
      </c>
      <c r="B43" s="5" t="s">
        <v>60</v>
      </c>
      <c r="C43" s="5" t="s">
        <v>65</v>
      </c>
      <c r="D43" s="5" t="s">
        <v>138</v>
      </c>
      <c r="E43" s="5" t="s">
        <v>63</v>
      </c>
      <c r="F43" s="6"/>
    </row>
    <row r="44" customFormat="false" ht="15" hidden="false" customHeight="false" outlineLevel="0" collapsed="false">
      <c r="A44" s="5" t="s">
        <v>139</v>
      </c>
      <c r="B44" s="5" t="s">
        <v>60</v>
      </c>
      <c r="C44" s="5" t="s">
        <v>61</v>
      </c>
      <c r="D44" s="5" t="s">
        <v>140</v>
      </c>
      <c r="E44" s="5" t="s">
        <v>63</v>
      </c>
      <c r="F44" s="6"/>
    </row>
    <row r="45" customFormat="false" ht="15" hidden="false" customHeight="false" outlineLevel="0" collapsed="false">
      <c r="A45" s="5" t="s">
        <v>141</v>
      </c>
      <c r="B45" s="5" t="s">
        <v>60</v>
      </c>
      <c r="C45" s="5" t="s">
        <v>61</v>
      </c>
      <c r="D45" s="5" t="s">
        <v>96</v>
      </c>
      <c r="E45" s="5" t="s">
        <v>63</v>
      </c>
      <c r="F45" s="6"/>
    </row>
    <row r="46" customFormat="false" ht="15" hidden="false" customHeight="false" outlineLevel="0" collapsed="false">
      <c r="A46" s="5" t="s">
        <v>142</v>
      </c>
      <c r="B46" s="5" t="s">
        <v>60</v>
      </c>
      <c r="C46" s="5" t="s">
        <v>61</v>
      </c>
      <c r="D46" s="5" t="s">
        <v>96</v>
      </c>
      <c r="E46" s="5" t="s">
        <v>63</v>
      </c>
      <c r="F46" s="6"/>
    </row>
    <row r="47" customFormat="false" ht="15" hidden="false" customHeight="false" outlineLevel="0" collapsed="false">
      <c r="A47" s="8" t="s">
        <v>143</v>
      </c>
      <c r="B47" s="8" t="s">
        <v>60</v>
      </c>
      <c r="C47" s="8" t="s">
        <v>144</v>
      </c>
      <c r="D47" s="8" t="s">
        <v>145</v>
      </c>
      <c r="E47" s="8" t="s">
        <v>63</v>
      </c>
      <c r="F47" s="6"/>
    </row>
    <row r="48" customFormat="false" ht="15" hidden="false" customHeight="false" outlineLevel="0" collapsed="false">
      <c r="A48" s="5" t="s">
        <v>146</v>
      </c>
      <c r="B48" s="5" t="s">
        <v>60</v>
      </c>
      <c r="C48" s="5" t="s">
        <v>147</v>
      </c>
      <c r="D48" s="5" t="s">
        <v>148</v>
      </c>
      <c r="E48" s="5" t="s">
        <v>63</v>
      </c>
      <c r="F48" s="6"/>
    </row>
    <row r="49" customFormat="false" ht="15" hidden="false" customHeight="false" outlineLevel="0" collapsed="false">
      <c r="A49" s="7" t="s">
        <v>149</v>
      </c>
      <c r="B49" s="7" t="s">
        <v>60</v>
      </c>
      <c r="C49" s="7" t="s">
        <v>147</v>
      </c>
      <c r="D49" s="7" t="s">
        <v>150</v>
      </c>
      <c r="E49" s="7" t="s">
        <v>72</v>
      </c>
      <c r="F49" s="6"/>
    </row>
    <row r="50" customFormat="false" ht="23.85" hidden="false" customHeight="false" outlineLevel="0" collapsed="false">
      <c r="A50" s="7" t="s">
        <v>151</v>
      </c>
      <c r="B50" s="7" t="s">
        <v>60</v>
      </c>
      <c r="C50" s="7" t="s">
        <v>91</v>
      </c>
      <c r="D50" s="7" t="s">
        <v>152</v>
      </c>
      <c r="E50" s="7" t="s">
        <v>72</v>
      </c>
      <c r="F50" s="6"/>
    </row>
    <row r="51" customFormat="false" ht="15" hidden="false" customHeight="false" outlineLevel="0" collapsed="false">
      <c r="A51" s="5" t="s">
        <v>153</v>
      </c>
      <c r="B51" s="5" t="s">
        <v>60</v>
      </c>
      <c r="C51" s="5" t="s">
        <v>61</v>
      </c>
      <c r="D51" s="5" t="s">
        <v>154</v>
      </c>
      <c r="E51" s="5" t="s">
        <v>63</v>
      </c>
      <c r="F51" s="6"/>
    </row>
    <row r="52" customFormat="false" ht="15" hidden="false" customHeight="false" outlineLevel="0" collapsed="false">
      <c r="A52" s="5" t="s">
        <v>155</v>
      </c>
      <c r="B52" s="5" t="s">
        <v>60</v>
      </c>
      <c r="C52" s="5" t="s">
        <v>61</v>
      </c>
      <c r="D52" s="5" t="s">
        <v>156</v>
      </c>
      <c r="E52" s="5" t="s">
        <v>63</v>
      </c>
      <c r="F52" s="6"/>
    </row>
    <row r="53" customFormat="false" ht="15" hidden="false" customHeight="false" outlineLevel="0" collapsed="false">
      <c r="A53" s="5" t="s">
        <v>157</v>
      </c>
      <c r="B53" s="5" t="s">
        <v>60</v>
      </c>
      <c r="C53" s="5" t="s">
        <v>91</v>
      </c>
      <c r="D53" s="5" t="s">
        <v>158</v>
      </c>
      <c r="E53" s="5" t="s">
        <v>63</v>
      </c>
      <c r="F53" s="6"/>
    </row>
    <row r="54" customFormat="false" ht="15" hidden="false" customHeight="false" outlineLevel="0" collapsed="false">
      <c r="A54" s="5" t="s">
        <v>159</v>
      </c>
      <c r="B54" s="5" t="s">
        <v>60</v>
      </c>
      <c r="C54" s="5" t="s">
        <v>147</v>
      </c>
      <c r="D54" s="5" t="s">
        <v>160</v>
      </c>
      <c r="E54" s="5" t="s">
        <v>63</v>
      </c>
      <c r="F54" s="6"/>
    </row>
    <row r="55" customFormat="false" ht="15" hidden="false" customHeight="false" outlineLevel="0" collapsed="false">
      <c r="A55" s="8" t="s">
        <v>161</v>
      </c>
      <c r="B55" s="8" t="s">
        <v>60</v>
      </c>
      <c r="C55" s="8" t="s">
        <v>144</v>
      </c>
      <c r="D55" s="8" t="s">
        <v>145</v>
      </c>
      <c r="E55" s="8" t="s">
        <v>63</v>
      </c>
      <c r="F55" s="6"/>
    </row>
    <row r="56" customFormat="false" ht="15" hidden="false" customHeight="false" outlineLevel="0" collapsed="false">
      <c r="A56" s="7" t="s">
        <v>162</v>
      </c>
      <c r="B56" s="7" t="s">
        <v>60</v>
      </c>
      <c r="C56" s="7" t="s">
        <v>68</v>
      </c>
      <c r="D56" s="7" t="s">
        <v>163</v>
      </c>
      <c r="E56" s="7" t="s">
        <v>72</v>
      </c>
      <c r="F56" s="6"/>
    </row>
    <row r="57" customFormat="false" ht="15" hidden="false" customHeight="false" outlineLevel="0" collapsed="false">
      <c r="A57" s="5" t="s">
        <v>164</v>
      </c>
      <c r="B57" s="5" t="s">
        <v>60</v>
      </c>
      <c r="C57" s="5" t="s">
        <v>61</v>
      </c>
      <c r="D57" s="5" t="s">
        <v>165</v>
      </c>
      <c r="E57" s="5" t="s">
        <v>63</v>
      </c>
      <c r="F57" s="6"/>
    </row>
    <row r="58" customFormat="false" ht="15" hidden="false" customHeight="false" outlineLevel="0" collapsed="false">
      <c r="A58" s="5" t="s">
        <v>166</v>
      </c>
      <c r="B58" s="5" t="s">
        <v>60</v>
      </c>
      <c r="C58" s="5" t="s">
        <v>61</v>
      </c>
      <c r="D58" s="5" t="s">
        <v>83</v>
      </c>
      <c r="E58" s="5" t="s">
        <v>63</v>
      </c>
      <c r="F58" s="6"/>
    </row>
    <row r="59" customFormat="false" ht="15" hidden="false" customHeight="false" outlineLevel="0" collapsed="false">
      <c r="A59" s="5" t="s">
        <v>167</v>
      </c>
      <c r="B59" s="5" t="s">
        <v>60</v>
      </c>
      <c r="C59" s="5" t="s">
        <v>61</v>
      </c>
      <c r="D59" s="5" t="s">
        <v>168</v>
      </c>
      <c r="E59" s="5" t="s">
        <v>63</v>
      </c>
      <c r="F59" s="6"/>
    </row>
    <row r="60" customFormat="false" ht="15" hidden="false" customHeight="false" outlineLevel="0" collapsed="false">
      <c r="A60" s="5" t="s">
        <v>169</v>
      </c>
      <c r="B60" s="5" t="s">
        <v>60</v>
      </c>
      <c r="C60" s="5" t="s">
        <v>76</v>
      </c>
      <c r="D60" s="5" t="s">
        <v>170</v>
      </c>
      <c r="E60" s="5" t="s">
        <v>63</v>
      </c>
      <c r="F60" s="6"/>
    </row>
    <row r="61" customFormat="false" ht="15" hidden="false" customHeight="false" outlineLevel="0" collapsed="false">
      <c r="A61" s="5" t="s">
        <v>171</v>
      </c>
      <c r="B61" s="5" t="s">
        <v>60</v>
      </c>
      <c r="C61" s="5" t="s">
        <v>98</v>
      </c>
      <c r="D61" s="5" t="s">
        <v>172</v>
      </c>
      <c r="E61" s="5" t="s">
        <v>63</v>
      </c>
      <c r="F61" s="6"/>
    </row>
    <row r="62" customFormat="false" ht="15" hidden="false" customHeight="false" outlineLevel="0" collapsed="false">
      <c r="A62" s="5" t="s">
        <v>173</v>
      </c>
      <c r="B62" s="5" t="s">
        <v>60</v>
      </c>
      <c r="C62" s="5" t="s">
        <v>98</v>
      </c>
      <c r="D62" s="5" t="s">
        <v>174</v>
      </c>
      <c r="E62" s="5" t="s">
        <v>63</v>
      </c>
      <c r="F62" s="6"/>
    </row>
    <row r="63" customFormat="false" ht="15" hidden="false" customHeight="false" outlineLevel="0" collapsed="false">
      <c r="A63" s="5" t="s">
        <v>175</v>
      </c>
      <c r="B63" s="5" t="s">
        <v>60</v>
      </c>
      <c r="C63" s="5" t="s">
        <v>98</v>
      </c>
      <c r="D63" s="5" t="s">
        <v>176</v>
      </c>
      <c r="E63" s="5" t="s">
        <v>63</v>
      </c>
      <c r="F63" s="6"/>
    </row>
    <row r="64" customFormat="false" ht="15" hidden="false" customHeight="false" outlineLevel="0" collapsed="false">
      <c r="A64" s="5" t="s">
        <v>177</v>
      </c>
      <c r="B64" s="5" t="s">
        <v>60</v>
      </c>
      <c r="C64" s="5" t="s">
        <v>91</v>
      </c>
      <c r="D64" s="5" t="s">
        <v>178</v>
      </c>
      <c r="E64" s="5" t="s">
        <v>63</v>
      </c>
      <c r="F64" s="6"/>
    </row>
    <row r="65" customFormat="false" ht="15" hidden="false" customHeight="false" outlineLevel="0" collapsed="false">
      <c r="A65" s="5" t="s">
        <v>179</v>
      </c>
      <c r="B65" s="5" t="s">
        <v>60</v>
      </c>
      <c r="C65" s="5" t="s">
        <v>76</v>
      </c>
      <c r="D65" s="5" t="s">
        <v>180</v>
      </c>
      <c r="E65" s="5" t="s">
        <v>63</v>
      </c>
      <c r="F65" s="6"/>
    </row>
    <row r="66" customFormat="false" ht="15" hidden="false" customHeight="false" outlineLevel="0" collapsed="false">
      <c r="A66" s="7" t="s">
        <v>181</v>
      </c>
      <c r="B66" s="7" t="s">
        <v>60</v>
      </c>
      <c r="C66" s="7" t="s">
        <v>68</v>
      </c>
      <c r="D66" s="7" t="s">
        <v>182</v>
      </c>
      <c r="E66" s="7" t="s">
        <v>72</v>
      </c>
      <c r="F66" s="6"/>
    </row>
    <row r="67" customFormat="false" ht="15" hidden="false" customHeight="false" outlineLevel="0" collapsed="false">
      <c r="A67" s="5" t="s">
        <v>183</v>
      </c>
      <c r="B67" s="5" t="s">
        <v>60</v>
      </c>
      <c r="C67" s="5" t="s">
        <v>61</v>
      </c>
      <c r="D67" s="5" t="s">
        <v>83</v>
      </c>
      <c r="E67" s="5" t="s">
        <v>63</v>
      </c>
      <c r="F67" s="6"/>
    </row>
    <row r="68" customFormat="false" ht="15" hidden="false" customHeight="false" outlineLevel="0" collapsed="false">
      <c r="A68" s="5" t="s">
        <v>184</v>
      </c>
      <c r="B68" s="5" t="s">
        <v>60</v>
      </c>
      <c r="C68" s="5" t="s">
        <v>61</v>
      </c>
      <c r="D68" s="5" t="s">
        <v>83</v>
      </c>
      <c r="E68" s="5" t="s">
        <v>63</v>
      </c>
      <c r="F68" s="6"/>
    </row>
    <row r="69" customFormat="false" ht="15" hidden="false" customHeight="false" outlineLevel="0" collapsed="false">
      <c r="A69" s="5" t="s">
        <v>185</v>
      </c>
      <c r="B69" s="5" t="s">
        <v>60</v>
      </c>
      <c r="C69" s="5" t="s">
        <v>91</v>
      </c>
      <c r="D69" s="5" t="s">
        <v>186</v>
      </c>
      <c r="E69" s="5" t="s">
        <v>63</v>
      </c>
      <c r="F69" s="6"/>
    </row>
    <row r="70" customFormat="false" ht="15" hidden="false" customHeight="false" outlineLevel="0" collapsed="false">
      <c r="A70" s="5" t="s">
        <v>187</v>
      </c>
      <c r="B70" s="5" t="s">
        <v>60</v>
      </c>
      <c r="C70" s="5" t="s">
        <v>68</v>
      </c>
      <c r="D70" s="5" t="s">
        <v>188</v>
      </c>
      <c r="E70" s="5" t="s">
        <v>63</v>
      </c>
      <c r="F70" s="6"/>
    </row>
    <row r="71" customFormat="false" ht="15" hidden="false" customHeight="false" outlineLevel="0" collapsed="false">
      <c r="A71" s="5" t="s">
        <v>189</v>
      </c>
      <c r="B71" s="5" t="s">
        <v>60</v>
      </c>
      <c r="C71" s="5" t="s">
        <v>76</v>
      </c>
      <c r="D71" s="5" t="s">
        <v>190</v>
      </c>
      <c r="E71" s="5" t="s">
        <v>63</v>
      </c>
      <c r="F71" s="6"/>
    </row>
    <row r="72" customFormat="false" ht="15" hidden="false" customHeight="false" outlineLevel="0" collapsed="false">
      <c r="A72" s="5" t="s">
        <v>64</v>
      </c>
      <c r="B72" s="5" t="s">
        <v>191</v>
      </c>
      <c r="C72" s="5" t="s">
        <v>65</v>
      </c>
      <c r="D72" s="5" t="s">
        <v>192</v>
      </c>
      <c r="E72" s="5" t="s">
        <v>63</v>
      </c>
      <c r="F72" s="6"/>
    </row>
    <row r="73" customFormat="false" ht="15" hidden="false" customHeight="false" outlineLevel="0" collapsed="false">
      <c r="A73" s="7" t="s">
        <v>193</v>
      </c>
      <c r="B73" s="7" t="s">
        <v>191</v>
      </c>
      <c r="C73" s="7" t="s">
        <v>76</v>
      </c>
      <c r="D73" s="7" t="s">
        <v>194</v>
      </c>
      <c r="E73" s="7" t="s">
        <v>72</v>
      </c>
      <c r="F73" s="6"/>
    </row>
    <row r="74" customFormat="false" ht="15" hidden="false" customHeight="false" outlineLevel="0" collapsed="false">
      <c r="A74" s="5" t="s">
        <v>195</v>
      </c>
      <c r="B74" s="5" t="s">
        <v>191</v>
      </c>
      <c r="C74" s="5" t="s">
        <v>76</v>
      </c>
      <c r="D74" s="5" t="s">
        <v>196</v>
      </c>
      <c r="E74" s="5" t="s">
        <v>63</v>
      </c>
      <c r="F74" s="6"/>
    </row>
    <row r="75" customFormat="false" ht="15" hidden="false" customHeight="false" outlineLevel="0" collapsed="false">
      <c r="A75" s="5" t="s">
        <v>197</v>
      </c>
      <c r="B75" s="5" t="s">
        <v>191</v>
      </c>
      <c r="C75" s="5" t="s">
        <v>76</v>
      </c>
      <c r="D75" s="5" t="s">
        <v>198</v>
      </c>
      <c r="E75" s="5" t="s">
        <v>63</v>
      </c>
      <c r="F75" s="6"/>
    </row>
    <row r="76" customFormat="false" ht="15" hidden="false" customHeight="false" outlineLevel="0" collapsed="false">
      <c r="A76" s="5" t="s">
        <v>75</v>
      </c>
      <c r="B76" s="5" t="s">
        <v>191</v>
      </c>
      <c r="C76" s="5" t="s">
        <v>76</v>
      </c>
      <c r="D76" s="5" t="s">
        <v>199</v>
      </c>
      <c r="E76" s="5" t="s">
        <v>63</v>
      </c>
      <c r="F76" s="6"/>
    </row>
    <row r="77" customFormat="false" ht="15" hidden="false" customHeight="false" outlineLevel="0" collapsed="false">
      <c r="A77" s="5" t="s">
        <v>200</v>
      </c>
      <c r="B77" s="5" t="s">
        <v>191</v>
      </c>
      <c r="C77" s="5" t="s">
        <v>61</v>
      </c>
      <c r="D77" s="5" t="s">
        <v>201</v>
      </c>
      <c r="E77" s="5" t="s">
        <v>63</v>
      </c>
      <c r="F77" s="6"/>
    </row>
    <row r="78" customFormat="false" ht="15" hidden="false" customHeight="false" outlineLevel="0" collapsed="false">
      <c r="A78" s="5" t="s">
        <v>202</v>
      </c>
      <c r="B78" s="5" t="s">
        <v>191</v>
      </c>
      <c r="C78" s="5" t="s">
        <v>61</v>
      </c>
      <c r="D78" s="5" t="s">
        <v>201</v>
      </c>
      <c r="E78" s="5" t="s">
        <v>63</v>
      </c>
      <c r="F78" s="6"/>
    </row>
    <row r="79" customFormat="false" ht="15" hidden="false" customHeight="false" outlineLevel="0" collapsed="false">
      <c r="A79" s="5" t="s">
        <v>203</v>
      </c>
      <c r="B79" s="5" t="s">
        <v>191</v>
      </c>
      <c r="C79" s="5" t="s">
        <v>91</v>
      </c>
      <c r="D79" s="5" t="s">
        <v>204</v>
      </c>
      <c r="E79" s="5" t="s">
        <v>63</v>
      </c>
      <c r="F79" s="6"/>
    </row>
    <row r="80" customFormat="false" ht="15" hidden="false" customHeight="false" outlineLevel="0" collapsed="false">
      <c r="A80" s="5" t="s">
        <v>205</v>
      </c>
      <c r="B80" s="5" t="s">
        <v>191</v>
      </c>
      <c r="C80" s="5" t="s">
        <v>61</v>
      </c>
      <c r="D80" s="5" t="s">
        <v>206</v>
      </c>
      <c r="E80" s="5" t="s">
        <v>63</v>
      </c>
      <c r="F80" s="6"/>
    </row>
    <row r="81" customFormat="false" ht="15" hidden="false" customHeight="false" outlineLevel="0" collapsed="false">
      <c r="A81" s="7" t="s">
        <v>207</v>
      </c>
      <c r="B81" s="7" t="s">
        <v>191</v>
      </c>
      <c r="C81" s="7" t="s">
        <v>147</v>
      </c>
      <c r="D81" s="7" t="s">
        <v>208</v>
      </c>
      <c r="E81" s="7" t="s">
        <v>72</v>
      </c>
      <c r="F81" s="6"/>
    </row>
    <row r="82" customFormat="false" ht="15" hidden="false" customHeight="false" outlineLevel="0" collapsed="false">
      <c r="A82" s="5" t="s">
        <v>209</v>
      </c>
      <c r="B82" s="5" t="s">
        <v>191</v>
      </c>
      <c r="C82" s="5" t="s">
        <v>98</v>
      </c>
      <c r="D82" s="5" t="s">
        <v>210</v>
      </c>
      <c r="E82" s="5" t="s">
        <v>63</v>
      </c>
      <c r="F82" s="6"/>
    </row>
    <row r="83" customFormat="false" ht="15" hidden="false" customHeight="false" outlineLevel="0" collapsed="false">
      <c r="A83" s="7" t="s">
        <v>211</v>
      </c>
      <c r="B83" s="7" t="s">
        <v>191</v>
      </c>
      <c r="C83" s="7" t="s">
        <v>68</v>
      </c>
      <c r="D83" s="7" t="s">
        <v>212</v>
      </c>
      <c r="E83" s="7" t="s">
        <v>72</v>
      </c>
      <c r="F83" s="6"/>
    </row>
    <row r="84" customFormat="false" ht="15" hidden="false" customHeight="false" outlineLevel="0" collapsed="false">
      <c r="A84" s="7" t="s">
        <v>213</v>
      </c>
      <c r="B84" s="7" t="s">
        <v>191</v>
      </c>
      <c r="C84" s="7" t="s">
        <v>68</v>
      </c>
      <c r="D84" s="7" t="s">
        <v>214</v>
      </c>
      <c r="E84" s="7" t="s">
        <v>72</v>
      </c>
      <c r="F84" s="6"/>
    </row>
    <row r="85" customFormat="false" ht="15" hidden="false" customHeight="false" outlineLevel="0" collapsed="false">
      <c r="A85" s="7" t="s">
        <v>215</v>
      </c>
      <c r="B85" s="7" t="s">
        <v>191</v>
      </c>
      <c r="C85" s="7" t="s">
        <v>68</v>
      </c>
      <c r="D85" s="7" t="s">
        <v>216</v>
      </c>
      <c r="E85" s="7" t="s">
        <v>72</v>
      </c>
      <c r="F85" s="6"/>
    </row>
    <row r="86" customFormat="false" ht="15" hidden="false" customHeight="false" outlineLevel="0" collapsed="false">
      <c r="A86" s="5" t="s">
        <v>217</v>
      </c>
      <c r="B86" s="5" t="s">
        <v>191</v>
      </c>
      <c r="C86" s="5" t="s">
        <v>91</v>
      </c>
      <c r="D86" s="5" t="s">
        <v>218</v>
      </c>
      <c r="E86" s="5" t="s">
        <v>63</v>
      </c>
      <c r="F86" s="6"/>
    </row>
    <row r="87" customFormat="false" ht="15" hidden="false" customHeight="false" outlineLevel="0" collapsed="false">
      <c r="A87" s="7" t="s">
        <v>219</v>
      </c>
      <c r="B87" s="7" t="s">
        <v>191</v>
      </c>
      <c r="C87" s="7" t="s">
        <v>91</v>
      </c>
      <c r="D87" s="7" t="s">
        <v>220</v>
      </c>
      <c r="E87" s="7" t="s">
        <v>72</v>
      </c>
      <c r="F87" s="6"/>
    </row>
    <row r="88" customFormat="false" ht="15" hidden="false" customHeight="false" outlineLevel="0" collapsed="false">
      <c r="A88" s="5" t="s">
        <v>221</v>
      </c>
      <c r="B88" s="5" t="s">
        <v>191</v>
      </c>
      <c r="C88" s="5" t="s">
        <v>91</v>
      </c>
      <c r="D88" s="5" t="s">
        <v>222</v>
      </c>
      <c r="E88" s="5" t="s">
        <v>63</v>
      </c>
      <c r="F88" s="6"/>
    </row>
    <row r="89" customFormat="false" ht="15" hidden="false" customHeight="false" outlineLevel="0" collapsed="false">
      <c r="A89" s="5" t="s">
        <v>223</v>
      </c>
      <c r="B89" s="5" t="s">
        <v>191</v>
      </c>
      <c r="C89" s="5" t="s">
        <v>61</v>
      </c>
      <c r="D89" s="5" t="s">
        <v>224</v>
      </c>
      <c r="E89" s="5" t="s">
        <v>63</v>
      </c>
      <c r="F89" s="6"/>
    </row>
    <row r="90" customFormat="false" ht="15" hidden="false" customHeight="false" outlineLevel="0" collapsed="false">
      <c r="A90" s="5" t="s">
        <v>90</v>
      </c>
      <c r="B90" s="5" t="s">
        <v>191</v>
      </c>
      <c r="C90" s="5" t="s">
        <v>91</v>
      </c>
      <c r="D90" s="5" t="s">
        <v>199</v>
      </c>
      <c r="E90" s="5" t="s">
        <v>63</v>
      </c>
      <c r="F90" s="6"/>
    </row>
    <row r="91" customFormat="false" ht="15" hidden="false" customHeight="false" outlineLevel="0" collapsed="false">
      <c r="A91" s="5" t="s">
        <v>225</v>
      </c>
      <c r="B91" s="5" t="s">
        <v>191</v>
      </c>
      <c r="C91" s="5" t="s">
        <v>68</v>
      </c>
      <c r="D91" s="5" t="s">
        <v>226</v>
      </c>
      <c r="E91" s="5" t="s">
        <v>63</v>
      </c>
      <c r="F91" s="6"/>
    </row>
    <row r="92" customFormat="false" ht="15" hidden="false" customHeight="false" outlineLevel="0" collapsed="false">
      <c r="A92" s="5" t="s">
        <v>227</v>
      </c>
      <c r="B92" s="5" t="s">
        <v>191</v>
      </c>
      <c r="C92" s="5" t="s">
        <v>61</v>
      </c>
      <c r="D92" s="5" t="s">
        <v>228</v>
      </c>
      <c r="E92" s="5" t="s">
        <v>63</v>
      </c>
      <c r="F92" s="6"/>
    </row>
    <row r="93" customFormat="false" ht="15" hidden="false" customHeight="false" outlineLevel="0" collapsed="false">
      <c r="A93" s="7" t="s">
        <v>229</v>
      </c>
      <c r="B93" s="7" t="s">
        <v>191</v>
      </c>
      <c r="C93" s="7" t="s">
        <v>115</v>
      </c>
      <c r="D93" s="7" t="s">
        <v>230</v>
      </c>
      <c r="E93" s="7" t="s">
        <v>72</v>
      </c>
      <c r="F93" s="6"/>
    </row>
    <row r="94" customFormat="false" ht="15" hidden="false" customHeight="false" outlineLevel="0" collapsed="false">
      <c r="A94" s="5" t="s">
        <v>231</v>
      </c>
      <c r="B94" s="5" t="s">
        <v>191</v>
      </c>
      <c r="C94" s="5" t="s">
        <v>76</v>
      </c>
      <c r="D94" s="5" t="s">
        <v>232</v>
      </c>
      <c r="E94" s="5" t="s">
        <v>63</v>
      </c>
      <c r="F94" s="6"/>
    </row>
    <row r="95" customFormat="false" ht="15" hidden="false" customHeight="false" outlineLevel="0" collapsed="false">
      <c r="A95" s="5" t="s">
        <v>233</v>
      </c>
      <c r="B95" s="5" t="s">
        <v>191</v>
      </c>
      <c r="C95" s="5" t="s">
        <v>76</v>
      </c>
      <c r="D95" s="5" t="s">
        <v>234</v>
      </c>
      <c r="E95" s="5" t="s">
        <v>63</v>
      </c>
      <c r="F95" s="6"/>
    </row>
    <row r="96" customFormat="false" ht="15" hidden="false" customHeight="false" outlineLevel="0" collapsed="false">
      <c r="A96" s="5" t="s">
        <v>131</v>
      </c>
      <c r="B96" s="5" t="s">
        <v>191</v>
      </c>
      <c r="C96" s="5" t="s">
        <v>65</v>
      </c>
      <c r="D96" s="5" t="s">
        <v>199</v>
      </c>
      <c r="E96" s="5" t="s">
        <v>63</v>
      </c>
      <c r="F96" s="6"/>
    </row>
    <row r="97" customFormat="false" ht="15" hidden="false" customHeight="false" outlineLevel="0" collapsed="false">
      <c r="A97" s="5" t="s">
        <v>235</v>
      </c>
      <c r="B97" s="5" t="s">
        <v>191</v>
      </c>
      <c r="C97" s="5" t="s">
        <v>76</v>
      </c>
      <c r="D97" s="5" t="s">
        <v>236</v>
      </c>
      <c r="E97" s="5" t="s">
        <v>63</v>
      </c>
      <c r="F97" s="6"/>
    </row>
    <row r="98" customFormat="false" ht="15" hidden="false" customHeight="false" outlineLevel="0" collapsed="false">
      <c r="A98" s="5" t="s">
        <v>237</v>
      </c>
      <c r="B98" s="5" t="s">
        <v>191</v>
      </c>
      <c r="C98" s="5" t="s">
        <v>238</v>
      </c>
      <c r="D98" s="5" t="s">
        <v>239</v>
      </c>
      <c r="E98" s="5" t="s">
        <v>63</v>
      </c>
      <c r="F98" s="6"/>
    </row>
    <row r="99" customFormat="false" ht="15" hidden="false" customHeight="false" outlineLevel="0" collapsed="false">
      <c r="A99" s="5" t="s">
        <v>240</v>
      </c>
      <c r="B99" s="5" t="s">
        <v>191</v>
      </c>
      <c r="C99" s="5" t="s">
        <v>238</v>
      </c>
      <c r="D99" s="5" t="s">
        <v>241</v>
      </c>
      <c r="E99" s="5" t="s">
        <v>63</v>
      </c>
      <c r="F99" s="6"/>
    </row>
    <row r="100" customFormat="false" ht="15" hidden="false" customHeight="false" outlineLevel="0" collapsed="false">
      <c r="A100" s="5" t="s">
        <v>242</v>
      </c>
      <c r="B100" s="5" t="s">
        <v>191</v>
      </c>
      <c r="C100" s="5" t="s">
        <v>238</v>
      </c>
      <c r="D100" s="5" t="s">
        <v>243</v>
      </c>
      <c r="E100" s="5" t="s">
        <v>63</v>
      </c>
      <c r="F100" s="6"/>
    </row>
    <row r="101" customFormat="false" ht="15" hidden="false" customHeight="false" outlineLevel="0" collapsed="false">
      <c r="A101" s="5" t="s">
        <v>244</v>
      </c>
      <c r="B101" s="5" t="s">
        <v>191</v>
      </c>
      <c r="C101" s="5" t="s">
        <v>238</v>
      </c>
      <c r="D101" s="5" t="s">
        <v>245</v>
      </c>
      <c r="E101" s="5" t="s">
        <v>63</v>
      </c>
      <c r="F101" s="6"/>
    </row>
    <row r="102" customFormat="false" ht="15" hidden="false" customHeight="false" outlineLevel="0" collapsed="false">
      <c r="A102" s="7" t="s">
        <v>246</v>
      </c>
      <c r="B102" s="7" t="s">
        <v>191</v>
      </c>
      <c r="C102" s="7" t="s">
        <v>61</v>
      </c>
      <c r="D102" s="7" t="s">
        <v>247</v>
      </c>
      <c r="E102" s="7" t="s">
        <v>72</v>
      </c>
      <c r="F102" s="6"/>
    </row>
    <row r="103" customFormat="false" ht="15" hidden="false" customHeight="false" outlineLevel="0" collapsed="false">
      <c r="A103" s="5" t="s">
        <v>248</v>
      </c>
      <c r="B103" s="5" t="s">
        <v>191</v>
      </c>
      <c r="C103" s="5" t="s">
        <v>61</v>
      </c>
      <c r="D103" s="5" t="s">
        <v>249</v>
      </c>
      <c r="E103" s="5" t="s">
        <v>63</v>
      </c>
      <c r="F103" s="6"/>
    </row>
    <row r="104" customFormat="false" ht="15" hidden="false" customHeight="false" outlineLevel="0" collapsed="false">
      <c r="A104" s="7" t="s">
        <v>149</v>
      </c>
      <c r="B104" s="7" t="s">
        <v>191</v>
      </c>
      <c r="C104" s="7" t="s">
        <v>147</v>
      </c>
      <c r="D104" s="7" t="s">
        <v>199</v>
      </c>
      <c r="E104" s="7" t="s">
        <v>72</v>
      </c>
      <c r="F104" s="6"/>
    </row>
    <row r="105" customFormat="false" ht="15" hidden="false" customHeight="false" outlineLevel="0" collapsed="false">
      <c r="A105" s="5" t="s">
        <v>250</v>
      </c>
      <c r="B105" s="5" t="s">
        <v>191</v>
      </c>
      <c r="C105" s="5" t="s">
        <v>147</v>
      </c>
      <c r="D105" s="5" t="s">
        <v>251</v>
      </c>
      <c r="E105" s="5" t="s">
        <v>63</v>
      </c>
      <c r="F105" s="6"/>
    </row>
    <row r="106" customFormat="false" ht="15" hidden="false" customHeight="false" outlineLevel="0" collapsed="false">
      <c r="A106" s="5" t="s">
        <v>252</v>
      </c>
      <c r="B106" s="5" t="s">
        <v>191</v>
      </c>
      <c r="C106" s="5" t="s">
        <v>91</v>
      </c>
      <c r="D106" s="5" t="s">
        <v>253</v>
      </c>
      <c r="E106" s="5" t="s">
        <v>63</v>
      </c>
      <c r="F106" s="6"/>
    </row>
    <row r="107" customFormat="false" ht="15" hidden="false" customHeight="false" outlineLevel="0" collapsed="false">
      <c r="A107" s="5" t="s">
        <v>254</v>
      </c>
      <c r="B107" s="5" t="s">
        <v>191</v>
      </c>
      <c r="C107" s="5" t="s">
        <v>76</v>
      </c>
      <c r="D107" s="5" t="s">
        <v>255</v>
      </c>
      <c r="E107" s="5" t="s">
        <v>63</v>
      </c>
      <c r="F107" s="6"/>
    </row>
    <row r="108" customFormat="false" ht="15" hidden="false" customHeight="false" outlineLevel="0" collapsed="false">
      <c r="A108" s="7" t="s">
        <v>151</v>
      </c>
      <c r="B108" s="7" t="s">
        <v>191</v>
      </c>
      <c r="C108" s="7" t="s">
        <v>91</v>
      </c>
      <c r="D108" s="7" t="s">
        <v>256</v>
      </c>
      <c r="E108" s="7" t="s">
        <v>72</v>
      </c>
      <c r="F108" s="6"/>
    </row>
    <row r="109" customFormat="false" ht="15" hidden="false" customHeight="false" outlineLevel="0" collapsed="false">
      <c r="A109" s="7" t="s">
        <v>257</v>
      </c>
      <c r="B109" s="7" t="s">
        <v>191</v>
      </c>
      <c r="C109" s="7" t="s">
        <v>61</v>
      </c>
      <c r="D109" s="7" t="s">
        <v>258</v>
      </c>
      <c r="E109" s="7" t="s">
        <v>72</v>
      </c>
      <c r="F109" s="6"/>
    </row>
    <row r="110" customFormat="false" ht="15" hidden="false" customHeight="false" outlineLevel="0" collapsed="false">
      <c r="A110" s="5" t="s">
        <v>157</v>
      </c>
      <c r="B110" s="5" t="s">
        <v>191</v>
      </c>
      <c r="C110" s="5" t="s">
        <v>91</v>
      </c>
      <c r="D110" s="5" t="s">
        <v>199</v>
      </c>
      <c r="E110" s="5" t="s">
        <v>63</v>
      </c>
      <c r="F110" s="6"/>
    </row>
    <row r="111" customFormat="false" ht="15" hidden="false" customHeight="false" outlineLevel="0" collapsed="false">
      <c r="A111" s="5" t="s">
        <v>259</v>
      </c>
      <c r="B111" s="5" t="s">
        <v>191</v>
      </c>
      <c r="C111" s="5" t="s">
        <v>147</v>
      </c>
      <c r="D111" s="5" t="s">
        <v>260</v>
      </c>
      <c r="E111" s="5" t="s">
        <v>63</v>
      </c>
      <c r="F111" s="6"/>
    </row>
    <row r="112" customFormat="false" ht="15" hidden="false" customHeight="false" outlineLevel="0" collapsed="false">
      <c r="A112" s="5" t="s">
        <v>159</v>
      </c>
      <c r="B112" s="5" t="s">
        <v>191</v>
      </c>
      <c r="C112" s="5" t="s">
        <v>147</v>
      </c>
      <c r="D112" s="5" t="s">
        <v>199</v>
      </c>
      <c r="E112" s="5" t="s">
        <v>63</v>
      </c>
      <c r="F112" s="6"/>
    </row>
    <row r="113" customFormat="false" ht="15" hidden="false" customHeight="false" outlineLevel="0" collapsed="false">
      <c r="A113" s="5" t="s">
        <v>261</v>
      </c>
      <c r="B113" s="5" t="s">
        <v>191</v>
      </c>
      <c r="C113" s="5" t="s">
        <v>76</v>
      </c>
      <c r="D113" s="5" t="s">
        <v>262</v>
      </c>
      <c r="E113" s="5" t="s">
        <v>63</v>
      </c>
      <c r="F113" s="6"/>
    </row>
    <row r="114" customFormat="false" ht="15" hidden="false" customHeight="false" outlineLevel="0" collapsed="false">
      <c r="A114" s="7" t="s">
        <v>263</v>
      </c>
      <c r="B114" s="7" t="s">
        <v>191</v>
      </c>
      <c r="C114" s="7" t="s">
        <v>68</v>
      </c>
      <c r="D114" s="7" t="s">
        <v>264</v>
      </c>
      <c r="E114" s="7" t="s">
        <v>72</v>
      </c>
      <c r="F114" s="6"/>
    </row>
    <row r="115" customFormat="false" ht="15" hidden="false" customHeight="false" outlineLevel="0" collapsed="false">
      <c r="A115" s="5" t="s">
        <v>265</v>
      </c>
      <c r="B115" s="5" t="s">
        <v>191</v>
      </c>
      <c r="C115" s="5" t="s">
        <v>76</v>
      </c>
      <c r="D115" s="5" t="s">
        <v>262</v>
      </c>
      <c r="E115" s="5" t="s">
        <v>63</v>
      </c>
      <c r="F115" s="6"/>
    </row>
    <row r="116" customFormat="false" ht="15" hidden="false" customHeight="false" outlineLevel="0" collapsed="false">
      <c r="A116" s="5" t="s">
        <v>266</v>
      </c>
      <c r="B116" s="5" t="s">
        <v>191</v>
      </c>
      <c r="C116" s="5" t="s">
        <v>68</v>
      </c>
      <c r="D116" s="5" t="s">
        <v>267</v>
      </c>
      <c r="E116" s="5" t="s">
        <v>63</v>
      </c>
      <c r="F116" s="6"/>
    </row>
    <row r="117" customFormat="false" ht="15" hidden="false" customHeight="false" outlineLevel="0" collapsed="false">
      <c r="A117" s="5" t="s">
        <v>268</v>
      </c>
      <c r="B117" s="5" t="s">
        <v>191</v>
      </c>
      <c r="C117" s="5" t="s">
        <v>238</v>
      </c>
      <c r="D117" s="5" t="s">
        <v>269</v>
      </c>
      <c r="E117" s="5" t="s">
        <v>63</v>
      </c>
      <c r="F117" s="6"/>
    </row>
    <row r="118" customFormat="false" ht="15" hidden="false" customHeight="false" outlineLevel="0" collapsed="false">
      <c r="A118" s="5" t="s">
        <v>270</v>
      </c>
      <c r="B118" s="5" t="s">
        <v>191</v>
      </c>
      <c r="C118" s="5" t="s">
        <v>76</v>
      </c>
      <c r="D118" s="5" t="s">
        <v>271</v>
      </c>
      <c r="E118" s="5" t="s">
        <v>63</v>
      </c>
      <c r="F118" s="6"/>
    </row>
    <row r="119" customFormat="false" ht="15" hidden="false" customHeight="false" outlineLevel="0" collapsed="false">
      <c r="A119" s="5" t="s">
        <v>169</v>
      </c>
      <c r="B119" s="5" t="s">
        <v>191</v>
      </c>
      <c r="C119" s="5" t="s">
        <v>76</v>
      </c>
      <c r="D119" s="5" t="s">
        <v>199</v>
      </c>
      <c r="E119" s="5" t="s">
        <v>63</v>
      </c>
      <c r="F119" s="6"/>
    </row>
    <row r="120" customFormat="false" ht="15" hidden="false" customHeight="false" outlineLevel="0" collapsed="false">
      <c r="A120" s="5" t="s">
        <v>272</v>
      </c>
      <c r="B120" s="5" t="s">
        <v>191</v>
      </c>
      <c r="C120" s="5" t="s">
        <v>98</v>
      </c>
      <c r="D120" s="5" t="s">
        <v>273</v>
      </c>
      <c r="E120" s="5" t="s">
        <v>63</v>
      </c>
      <c r="F120" s="6"/>
    </row>
    <row r="121" customFormat="false" ht="15" hidden="false" customHeight="false" outlineLevel="0" collapsed="false">
      <c r="A121" s="5" t="s">
        <v>171</v>
      </c>
      <c r="B121" s="5" t="s">
        <v>191</v>
      </c>
      <c r="C121" s="5" t="s">
        <v>98</v>
      </c>
      <c r="D121" s="5" t="s">
        <v>199</v>
      </c>
      <c r="E121" s="5" t="s">
        <v>63</v>
      </c>
      <c r="F121" s="6"/>
    </row>
    <row r="122" customFormat="false" ht="15" hidden="false" customHeight="false" outlineLevel="0" collapsed="false">
      <c r="A122" s="5" t="s">
        <v>175</v>
      </c>
      <c r="B122" s="5" t="s">
        <v>191</v>
      </c>
      <c r="C122" s="5" t="s">
        <v>98</v>
      </c>
      <c r="D122" s="5" t="s">
        <v>199</v>
      </c>
      <c r="E122" s="5" t="s">
        <v>63</v>
      </c>
      <c r="F122" s="6"/>
    </row>
    <row r="123" customFormat="false" ht="15" hidden="false" customHeight="false" outlineLevel="0" collapsed="false">
      <c r="A123" s="5" t="s">
        <v>185</v>
      </c>
      <c r="B123" s="5" t="s">
        <v>191</v>
      </c>
      <c r="C123" s="5" t="s">
        <v>91</v>
      </c>
      <c r="D123" s="5" t="s">
        <v>199</v>
      </c>
      <c r="E123" s="5" t="s">
        <v>63</v>
      </c>
      <c r="F123" s="6"/>
    </row>
    <row r="124" customFormat="false" ht="15" hidden="false" customHeight="false" outlineLevel="0" collapsed="false">
      <c r="A124" s="5" t="s">
        <v>274</v>
      </c>
      <c r="B124" s="5" t="s">
        <v>191</v>
      </c>
      <c r="C124" s="5" t="s">
        <v>76</v>
      </c>
      <c r="D124" s="5" t="s">
        <v>275</v>
      </c>
      <c r="E124" s="5" t="s">
        <v>63</v>
      </c>
      <c r="F124" s="6"/>
    </row>
  </sheetData>
  <dataValidations count="1">
    <dataValidation allowBlank="true" error="Pick one of the 10 defined values." errorStyle="stop" errorTitle="Not a defined class" operator="between" showDropDown="false" showErrorMessage="false" showInputMessage="false" sqref="C4:C124 F4:F124" type="list">
      <formula1>"insufficient_funds,instrument_invalid,customer_input_error,issuer_decline,temporary_lockout,technical_downtime,session_expiry,limit_exceeded,mandate_failure,out_of_scope"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24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56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3" t="s">
        <v>276</v>
      </c>
    </row>
    <row r="3" customFormat="false" ht="33.75" hidden="false" customHeight="true" outlineLevel="0" collapsed="false">
      <c r="A3" s="4" t="s">
        <v>55</v>
      </c>
      <c r="B3" s="4" t="s">
        <v>277</v>
      </c>
      <c r="C3" s="4" t="s">
        <v>278</v>
      </c>
      <c r="D3" s="4" t="s">
        <v>279</v>
      </c>
      <c r="E3" s="4" t="s">
        <v>280</v>
      </c>
      <c r="F3" s="4" t="s">
        <v>281</v>
      </c>
      <c r="G3" s="4" t="s">
        <v>282</v>
      </c>
      <c r="H3" s="4" t="s">
        <v>283</v>
      </c>
      <c r="I3" s="4" t="s">
        <v>284</v>
      </c>
      <c r="J3" s="4" t="s">
        <v>285</v>
      </c>
      <c r="K3" s="4" t="s">
        <v>286</v>
      </c>
      <c r="L3" s="4" t="s">
        <v>287</v>
      </c>
      <c r="M3" s="4" t="s">
        <v>288</v>
      </c>
    </row>
    <row r="4" customFormat="false" ht="23.85" hidden="false" customHeight="false" outlineLevel="0" collapsed="false">
      <c r="A4" s="9" t="s">
        <v>115</v>
      </c>
      <c r="B4" s="10" t="n">
        <f aca="false">COUNTIF(1_code_tagging!$C$4:$C$124,$A4)</f>
        <v>2</v>
      </c>
      <c r="C4" s="11" t="s">
        <v>289</v>
      </c>
      <c r="D4" s="11" t="s">
        <v>290</v>
      </c>
      <c r="E4" s="11" t="s">
        <v>291</v>
      </c>
      <c r="F4" s="11" t="s">
        <v>292</v>
      </c>
      <c r="G4" s="11" t="s">
        <v>293</v>
      </c>
      <c r="H4" s="11" t="s">
        <v>294</v>
      </c>
      <c r="I4" s="11" t="s">
        <v>295</v>
      </c>
      <c r="J4" s="12" t="n">
        <v>0.35</v>
      </c>
      <c r="K4" s="13" t="n">
        <v>3</v>
      </c>
      <c r="L4" s="11" t="s">
        <v>296</v>
      </c>
      <c r="M4" s="11" t="s">
        <v>297</v>
      </c>
    </row>
    <row r="5" customFormat="false" ht="23.85" hidden="false" customHeight="false" outlineLevel="0" collapsed="false">
      <c r="A5" s="9" t="s">
        <v>76</v>
      </c>
      <c r="B5" s="10" t="n">
        <f aca="false">COUNTIF(1_code_tagging!$C$4:$C$124,$A5)</f>
        <v>17</v>
      </c>
      <c r="C5" s="11" t="s">
        <v>298</v>
      </c>
      <c r="D5" s="11" t="s">
        <v>290</v>
      </c>
      <c r="E5" s="11" t="s">
        <v>299</v>
      </c>
      <c r="F5" s="11" t="s">
        <v>300</v>
      </c>
      <c r="G5" s="11" t="s">
        <v>293</v>
      </c>
      <c r="H5" s="11" t="s">
        <v>301</v>
      </c>
      <c r="I5" s="11" t="s">
        <v>293</v>
      </c>
      <c r="J5" s="12" t="n">
        <v>0.6</v>
      </c>
      <c r="K5" s="13" t="n">
        <v>4</v>
      </c>
      <c r="L5" s="11" t="s">
        <v>302</v>
      </c>
      <c r="M5" s="11" t="s">
        <v>303</v>
      </c>
    </row>
    <row r="6" customFormat="false" ht="23.85" hidden="false" customHeight="false" outlineLevel="0" collapsed="false">
      <c r="A6" s="9" t="s">
        <v>144</v>
      </c>
      <c r="B6" s="10" t="n">
        <f aca="false">COUNTIF(1_code_tagging!$C$4:$C$124,$A6)</f>
        <v>2</v>
      </c>
      <c r="C6" s="11" t="s">
        <v>289</v>
      </c>
      <c r="D6" s="11" t="s">
        <v>290</v>
      </c>
      <c r="E6" s="11" t="s">
        <v>304</v>
      </c>
      <c r="F6" s="11" t="s">
        <v>305</v>
      </c>
      <c r="G6" s="11" t="s">
        <v>293</v>
      </c>
      <c r="H6" s="11" t="s">
        <v>301</v>
      </c>
      <c r="I6" s="11" t="s">
        <v>293</v>
      </c>
      <c r="J6" s="12" t="n">
        <v>0.5</v>
      </c>
      <c r="K6" s="13" t="n">
        <v>3</v>
      </c>
      <c r="L6" s="11" t="s">
        <v>306</v>
      </c>
      <c r="M6" s="11" t="s">
        <v>307</v>
      </c>
    </row>
    <row r="7" customFormat="false" ht="35.05" hidden="false" customHeight="false" outlineLevel="0" collapsed="false">
      <c r="A7" s="9" t="s">
        <v>98</v>
      </c>
      <c r="B7" s="10" t="n">
        <f aca="false">COUNTIF(1_code_tagging!$C$4:$C$124,$A7)</f>
        <v>8</v>
      </c>
      <c r="C7" s="11" t="s">
        <v>289</v>
      </c>
      <c r="D7" s="11" t="s">
        <v>290</v>
      </c>
      <c r="E7" s="11" t="s">
        <v>308</v>
      </c>
      <c r="F7" s="11" t="s">
        <v>309</v>
      </c>
      <c r="G7" s="11" t="s">
        <v>310</v>
      </c>
      <c r="H7" s="11" t="s">
        <v>301</v>
      </c>
      <c r="I7" s="11" t="s">
        <v>311</v>
      </c>
      <c r="J7" s="12" t="n">
        <v>0.45</v>
      </c>
      <c r="K7" s="13" t="n">
        <v>2</v>
      </c>
      <c r="L7" s="11" t="s">
        <v>312</v>
      </c>
      <c r="M7" s="11" t="s">
        <v>313</v>
      </c>
    </row>
    <row r="8" customFormat="false" ht="23.85" hidden="false" customHeight="false" outlineLevel="0" collapsed="false">
      <c r="A8" s="9" t="s">
        <v>147</v>
      </c>
      <c r="B8" s="10" t="n">
        <f aca="false">COUNTIF(1_code_tagging!$C$4:$C$124,$A8)</f>
        <v>8</v>
      </c>
      <c r="C8" s="11" t="s">
        <v>289</v>
      </c>
      <c r="D8" s="11" t="s">
        <v>314</v>
      </c>
      <c r="E8" s="11" t="s">
        <v>315</v>
      </c>
      <c r="F8" s="11" t="s">
        <v>316</v>
      </c>
      <c r="G8" s="11" t="s">
        <v>317</v>
      </c>
      <c r="H8" s="11" t="s">
        <v>294</v>
      </c>
      <c r="I8" s="11" t="s">
        <v>318</v>
      </c>
      <c r="J8" s="12" t="n">
        <v>0.3</v>
      </c>
      <c r="K8" s="13" t="n">
        <v>2</v>
      </c>
      <c r="L8" s="11" t="s">
        <v>319</v>
      </c>
      <c r="M8" s="11" t="s">
        <v>320</v>
      </c>
    </row>
    <row r="9" customFormat="false" ht="15" hidden="false" customHeight="false" outlineLevel="0" collapsed="false">
      <c r="A9" s="9" t="s">
        <v>68</v>
      </c>
      <c r="B9" s="10" t="n">
        <f aca="false">COUNTIF(1_code_tagging!$C$4:$C$124,$A9)</f>
        <v>13</v>
      </c>
      <c r="C9" s="11" t="s">
        <v>321</v>
      </c>
      <c r="D9" s="11" t="s">
        <v>322</v>
      </c>
      <c r="E9" s="11" t="s">
        <v>323</v>
      </c>
      <c r="F9" s="11" t="s">
        <v>324</v>
      </c>
      <c r="G9" s="11" t="s">
        <v>325</v>
      </c>
      <c r="H9" s="11" t="s">
        <v>301</v>
      </c>
      <c r="I9" s="11" t="s">
        <v>318</v>
      </c>
      <c r="J9" s="12" t="n">
        <v>0.05</v>
      </c>
      <c r="K9" s="13" t="n">
        <v>3</v>
      </c>
      <c r="L9" s="11"/>
      <c r="M9" s="11" t="s">
        <v>326</v>
      </c>
    </row>
    <row r="10" customFormat="false" ht="23.85" hidden="false" customHeight="false" outlineLevel="0" collapsed="false">
      <c r="A10" s="9" t="s">
        <v>65</v>
      </c>
      <c r="B10" s="10" t="n">
        <f aca="false">COUNTIF(1_code_tagging!$C$4:$C$124,$A10)</f>
        <v>15</v>
      </c>
      <c r="C10" s="11" t="s">
        <v>321</v>
      </c>
      <c r="D10" s="11" t="s">
        <v>314</v>
      </c>
      <c r="E10" s="11" t="s">
        <v>327</v>
      </c>
      <c r="F10" s="11" t="s">
        <v>316</v>
      </c>
      <c r="G10" s="11" t="s">
        <v>328</v>
      </c>
      <c r="H10" s="11" t="s">
        <v>294</v>
      </c>
      <c r="I10" s="11" t="s">
        <v>318</v>
      </c>
      <c r="J10" s="12" t="n">
        <v>0.25</v>
      </c>
      <c r="K10" s="13" t="n">
        <v>2</v>
      </c>
      <c r="L10" s="11" t="s">
        <v>329</v>
      </c>
      <c r="M10" s="11" t="s">
        <v>330</v>
      </c>
    </row>
    <row r="11" customFormat="false" ht="23.85" hidden="false" customHeight="false" outlineLevel="0" collapsed="false">
      <c r="A11" s="9" t="s">
        <v>91</v>
      </c>
      <c r="B11" s="10" t="n">
        <f aca="false">COUNTIF(1_code_tagging!$C$4:$C$124,$A11)</f>
        <v>15</v>
      </c>
      <c r="C11" s="11" t="s">
        <v>321</v>
      </c>
      <c r="D11" s="11" t="s">
        <v>322</v>
      </c>
      <c r="E11" s="11" t="s">
        <v>323</v>
      </c>
      <c r="F11" s="11" t="s">
        <v>324</v>
      </c>
      <c r="G11" s="11" t="s">
        <v>331</v>
      </c>
      <c r="H11" s="11" t="s">
        <v>301</v>
      </c>
      <c r="I11" s="11" t="s">
        <v>318</v>
      </c>
      <c r="J11" s="12" t="n">
        <v>0.1</v>
      </c>
      <c r="K11" s="13" t="n">
        <v>2</v>
      </c>
      <c r="L11" s="11" t="s">
        <v>332</v>
      </c>
      <c r="M11" s="11" t="s">
        <v>333</v>
      </c>
    </row>
    <row r="12" customFormat="false" ht="23.85" hidden="false" customHeight="false" outlineLevel="0" collapsed="false">
      <c r="A12" s="9" t="s">
        <v>238</v>
      </c>
      <c r="B12" s="10" t="n">
        <f aca="false">COUNTIF(1_code_tagging!$C$4:$C$124,$A12)</f>
        <v>5</v>
      </c>
      <c r="C12" s="11" t="s">
        <v>321</v>
      </c>
      <c r="D12" s="11" t="s">
        <v>322</v>
      </c>
      <c r="E12" s="11" t="s">
        <v>323</v>
      </c>
      <c r="F12" s="11" t="s">
        <v>334</v>
      </c>
      <c r="G12" s="11" t="s">
        <v>335</v>
      </c>
      <c r="H12" s="11" t="s">
        <v>301</v>
      </c>
      <c r="I12" s="11" t="s">
        <v>318</v>
      </c>
      <c r="J12" s="12" t="n">
        <v>0.15</v>
      </c>
      <c r="K12" s="13" t="n">
        <v>2</v>
      </c>
      <c r="L12" s="11" t="s">
        <v>336</v>
      </c>
      <c r="M12" s="11" t="s">
        <v>337</v>
      </c>
    </row>
    <row r="13" customFormat="false" ht="15" hidden="false" customHeight="false" outlineLevel="0" collapsed="false">
      <c r="A13" s="14" t="s">
        <v>61</v>
      </c>
      <c r="B13" s="10" t="n">
        <f aca="false">COUNTIF(1_code_tagging!$C$4:$C$124,$A13)</f>
        <v>36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 t="s">
        <v>338</v>
      </c>
    </row>
    <row r="15" customFormat="false" ht="15" hidden="false" customHeight="false" outlineLevel="0" collapsed="false">
      <c r="A15" s="3" t="s">
        <v>339</v>
      </c>
      <c r="B15" s="3" t="n">
        <f aca="false">SUM(B4:B13)</f>
        <v>121</v>
      </c>
    </row>
    <row r="16" customFormat="false" ht="15" hidden="false" customHeight="false" outlineLevel="0" collapsed="false">
      <c r="A16" s="3" t="s">
        <v>340</v>
      </c>
      <c r="B16" s="3" t="n">
        <f aca="false">B15-B13</f>
        <v>85</v>
      </c>
    </row>
    <row r="17" customFormat="false" ht="15" hidden="false" customHeight="false" outlineLevel="0" collapsed="false">
      <c r="A17" s="3" t="s">
        <v>341</v>
      </c>
      <c r="B17" s="3" t="n">
        <f aca="false">COUNTIF(C4:C12,"autonomous*")</f>
        <v>5</v>
      </c>
    </row>
    <row r="18" customFormat="false" ht="15" hidden="false" customHeight="false" outlineLevel="0" collapsed="false">
      <c r="A18" s="3" t="s">
        <v>342</v>
      </c>
      <c r="B18" s="3" t="n">
        <f aca="false">COUNTIF(C4:C12,"customer-action")</f>
        <v>4</v>
      </c>
    </row>
    <row r="20" customFormat="false" ht="15" hidden="false" customHeight="false" outlineLevel="0" collapsed="false">
      <c r="A20" s="3" t="s">
        <v>343</v>
      </c>
    </row>
    <row r="21" customFormat="false" ht="15" hidden="false" customHeight="false" outlineLevel="0" collapsed="false">
      <c r="A21" s="3" t="s">
        <v>278</v>
      </c>
      <c r="C21" s="2" t="s">
        <v>344</v>
      </c>
    </row>
    <row r="22" customFormat="false" ht="15" hidden="false" customHeight="false" outlineLevel="0" collapsed="false">
      <c r="A22" s="3" t="s">
        <v>279</v>
      </c>
      <c r="C22" s="2" t="s">
        <v>345</v>
      </c>
    </row>
    <row r="23" customFormat="false" ht="15" hidden="false" customHeight="false" outlineLevel="0" collapsed="false">
      <c r="A23" s="3" t="s">
        <v>280</v>
      </c>
      <c r="C23" s="2" t="s">
        <v>346</v>
      </c>
    </row>
    <row r="24" customFormat="false" ht="15" hidden="false" customHeight="false" outlineLevel="0" collapsed="false">
      <c r="A24" s="3" t="s">
        <v>281</v>
      </c>
      <c r="C24" s="2" t="s">
        <v>347</v>
      </c>
    </row>
    <row r="25" customFormat="false" ht="15" hidden="false" customHeight="false" outlineLevel="0" collapsed="false">
      <c r="A25" s="3" t="s">
        <v>282</v>
      </c>
      <c r="C25" s="2" t="s">
        <v>348</v>
      </c>
    </row>
    <row r="26" customFormat="false" ht="15" hidden="false" customHeight="false" outlineLevel="0" collapsed="false">
      <c r="A26" s="3" t="s">
        <v>283</v>
      </c>
      <c r="C26" s="2" t="s">
        <v>349</v>
      </c>
    </row>
    <row r="27" customFormat="false" ht="15" hidden="false" customHeight="false" outlineLevel="0" collapsed="false">
      <c r="A27" s="3" t="s">
        <v>284</v>
      </c>
      <c r="C27" s="2" t="s">
        <v>350</v>
      </c>
    </row>
    <row r="28" customFormat="false" ht="15" hidden="false" customHeight="false" outlineLevel="0" collapsed="false">
      <c r="A28" s="3" t="s">
        <v>285</v>
      </c>
      <c r="C28" s="2" t="s">
        <v>351</v>
      </c>
    </row>
    <row r="29" customFormat="false" ht="15" hidden="false" customHeight="false" outlineLevel="0" collapsed="false">
      <c r="A29" s="3" t="s">
        <v>286</v>
      </c>
      <c r="C29" s="2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2026-08-24T11:28:09Z</dcterms:created>
  <dc:creator>openpyxl</dc:creator>
  <dc:description/>
  <dc:language>en-US</dc:language>
  <cp:lastModifiedBy/>
  <dcterms:modified xsi:type="dcterms:W3CDTF">2026-08-24T11:28:09Z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